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ps &amp; References" sheetId="1" state="visible" r:id="rId1"/>
    <sheet name="Project Info" sheetId="2" state="visible" r:id="rId2"/>
    <sheet name="Wall Framing" sheetId="3" state="visible" r:id="rId3"/>
    <sheet name="Roof Takeoff" sheetId="4" state="visible" r:id="rId4"/>
    <sheet name="Foundation" sheetId="5" state="visible" r:id="rId5"/>
    <sheet name="Siding &amp; Exterior" sheetId="6" state="visible" r:id="rId6"/>
    <sheet name="Windows &amp; Doors" sheetId="7" state="visible" r:id="rId7"/>
    <sheet name="Material Summary" sheetId="8" state="visible" r:id="rId8"/>
    <sheet name="Conversion Tabl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0">
    <font>
      <name val="Calibri"/>
      <family val="2"/>
      <color theme="1"/>
      <sz val="11"/>
      <scheme val="minor"/>
    </font>
    <font>
      <b val="1"/>
      <sz val="18"/>
    </font>
    <font>
      <b val="1"/>
      <color rgb="004472C4"/>
      <sz val="12"/>
    </font>
    <font>
      <b val="1"/>
    </font>
    <font>
      <b val="1"/>
      <sz val="14"/>
    </font>
    <font>
      <b val="1"/>
      <color rgb="00FFFFFF"/>
    </font>
    <font>
      <b val="1"/>
      <color rgb="004472C4"/>
    </font>
    <font>
      <b val="1"/>
      <sz val="16"/>
    </font>
    <font>
      <b val="1"/>
      <color rgb="00FFFFFF"/>
      <sz val="12"/>
    </font>
    <font>
      <b val="1"/>
      <sz val="12"/>
    </font>
    <font>
      <b val="1"/>
      <color rgb="00FFFFFF"/>
      <sz val="14"/>
    </font>
    <font>
      <b val="1"/>
      <sz val="10"/>
    </font>
    <font>
      <sz val="9"/>
    </font>
    <font>
      <i val="1"/>
      <color rgb="000000FF"/>
      <sz val="9"/>
    </font>
    <font>
      <b val="1"/>
      <color rgb="00008000"/>
      <sz val="10"/>
    </font>
    <font>
      <b val="1"/>
      <color rgb="00FFFFFF"/>
      <sz val="16"/>
    </font>
    <font>
      <sz val="10"/>
    </font>
    <font>
      <b val="1"/>
      <sz val="11"/>
    </font>
    <font>
      <color rgb="000000FF"/>
      <sz val="10"/>
    </font>
    <font>
      <i val="1"/>
      <sz val="10"/>
    </font>
  </fonts>
  <fills count="17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70AD47"/>
        <bgColor rgb="0070AD47"/>
      </patternFill>
    </fill>
    <fill>
      <patternFill patternType="solid">
        <fgColor rgb="00FFD966"/>
        <bgColor rgb="00FFD966"/>
      </patternFill>
    </fill>
    <fill>
      <patternFill patternType="solid">
        <fgColor rgb="005B9BD5"/>
        <bgColor rgb="005B9BD5"/>
      </patternFill>
    </fill>
    <fill>
      <patternFill patternType="solid">
        <fgColor rgb="00A5A5A5"/>
        <bgColor rgb="00A5A5A5"/>
      </patternFill>
    </fill>
    <fill>
      <patternFill patternType="solid">
        <fgColor rgb="00C65911"/>
        <bgColor rgb="00C65911"/>
      </patternFill>
    </fill>
    <fill>
      <patternFill patternType="solid">
        <fgColor rgb="004472C4"/>
        <bgColor rgb="004472C4"/>
      </patternFill>
    </fill>
    <fill>
      <patternFill patternType="solid">
        <fgColor rgb="00203864"/>
        <bgColor rgb="00203864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ED7D31"/>
        <bgColor rgb="00ED7D31"/>
      </patternFill>
    </fill>
    <fill>
      <patternFill patternType="solid">
        <fgColor rgb="00FFC000"/>
        <bgColor rgb="00FFC000"/>
      </patternFill>
    </fill>
    <fill>
      <patternFill patternType="solid">
        <fgColor rgb="00C00000"/>
        <bgColor rgb="00C00000"/>
      </patternFill>
    </fill>
    <fill>
      <patternFill patternType="solid">
        <fgColor rgb="00203764"/>
        <bgColor rgb="00203764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3" fillId="4" borderId="0" pivotButton="0" quotePrefix="0" xfId="0"/>
    <xf numFmtId="0" fontId="6" fillId="0" borderId="0" pivotButton="0" quotePrefix="0" xfId="0"/>
    <xf numFmtId="0" fontId="5" fillId="5" borderId="0" applyAlignment="1" pivotButton="0" quotePrefix="0" xfId="0">
      <alignment horizontal="center" wrapText="1"/>
    </xf>
    <xf numFmtId="0" fontId="5" fillId="6" borderId="0" pivotButton="0" quotePrefix="0" xfId="0"/>
    <xf numFmtId="0" fontId="5" fillId="7" borderId="0" applyAlignment="1" pivotButton="0" quotePrefix="0" xfId="0">
      <alignment horizontal="center" wrapText="1"/>
    </xf>
    <xf numFmtId="2" fontId="3" fillId="0" borderId="0" pivotButton="0" quotePrefix="0" xfId="0"/>
    <xf numFmtId="0" fontId="5" fillId="8" borderId="0" pivotButton="0" quotePrefix="0" xfId="0"/>
    <xf numFmtId="164" fontId="0" fillId="0" borderId="0" pivotButton="0" quotePrefix="0" xfId="0"/>
    <xf numFmtId="0" fontId="5" fillId="7" borderId="0" pivotButton="0" quotePrefix="0" xfId="0"/>
    <xf numFmtId="0" fontId="7" fillId="0" borderId="0" pivotButton="0" quotePrefix="0" xfId="0"/>
    <xf numFmtId="0" fontId="8" fillId="9" borderId="0" pivotButton="0" quotePrefix="0" xfId="0"/>
    <xf numFmtId="0" fontId="3" fillId="10" borderId="0" pivotButton="0" quotePrefix="0" xfId="0"/>
    <xf numFmtId="0" fontId="9" fillId="0" borderId="0" pivotButton="0" quotePrefix="0" xfId="0"/>
    <xf numFmtId="164" fontId="9" fillId="4" borderId="0" pivotButton="0" quotePrefix="0" xfId="0"/>
    <xf numFmtId="0" fontId="15" fillId="15" borderId="0" applyAlignment="1" pivotButton="0" quotePrefix="0" xfId="0">
      <alignment horizontal="center" vertical="center"/>
    </xf>
    <xf numFmtId="0" fontId="16" fillId="0" borderId="0" applyAlignment="1" pivotButton="0" quotePrefix="0" xfId="0">
      <alignment wrapText="1"/>
    </xf>
    <xf numFmtId="0" fontId="17" fillId="16" borderId="0" pivotButton="0" quotePrefix="0" xfId="0"/>
    <xf numFmtId="0" fontId="16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12" fillId="0" borderId="0" applyAlignment="1" pivotButton="0" quotePrefix="0" xfId="0">
      <alignment wrapText="1"/>
    </xf>
    <xf numFmtId="0" fontId="9" fillId="11" borderId="0" pivotButton="0" quotePrefix="0" xfId="0"/>
    <xf numFmtId="0" fontId="10" fillId="8" borderId="0" applyAlignment="1" pivotButton="0" quotePrefix="0" xfId="0">
      <alignment horizontal="center" vertical="center"/>
    </xf>
    <xf numFmtId="0" fontId="11" fillId="0" borderId="0" pivotButton="0" quotePrefix="0" xfId="0"/>
    <xf numFmtId="0" fontId="12" fillId="0" borderId="0" applyAlignment="1" pivotButton="0" quotePrefix="0" xfId="0">
      <alignment horizontal="left" vertical="top" wrapText="1"/>
    </xf>
    <xf numFmtId="0" fontId="12" fillId="0" borderId="0" pivotButton="0" quotePrefix="0" xfId="0"/>
    <xf numFmtId="0" fontId="13" fillId="0" borderId="0" applyAlignment="1" pivotButton="0" quotePrefix="0" xfId="0">
      <alignment horizontal="left" vertical="top" wrapText="1"/>
    </xf>
    <xf numFmtId="0" fontId="10" fillId="12" borderId="0" applyAlignment="1" pivotButton="0" quotePrefix="0" xfId="0">
      <alignment horizontal="center" vertical="center"/>
    </xf>
    <xf numFmtId="0" fontId="11" fillId="11" borderId="0" pivotButton="0" quotePrefix="0" xfId="0"/>
    <xf numFmtId="0" fontId="13" fillId="0" borderId="0" pivotButton="0" quotePrefix="0" xfId="0"/>
    <xf numFmtId="0" fontId="10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0" fillId="13" borderId="0" applyAlignment="1" pivotButton="0" quotePrefix="0" xfId="0">
      <alignment horizontal="center" vertical="center"/>
    </xf>
    <xf numFmtId="0" fontId="10" fillId="14" borderId="0" applyAlignment="1" pivotButton="0" quotePrefix="0" xfId="0">
      <alignment horizontal="center" vertical="center"/>
    </xf>
    <xf numFmtId="0" fontId="14" fillId="0" borderId="0" pivotButton="0" quotePrefix="0" xfId="0"/>
    <xf numFmtId="0" fontId="13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 /><Relationship Type="http://schemas.openxmlformats.org/officeDocument/2006/relationships/image" Target="/xl/media/image10.png" Id="rId2" 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 /><Relationship Type="http://schemas.openxmlformats.org/officeDocument/2006/relationships/image" Target="/xl/media/image1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333375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1</row>
      <rowOff>0</rowOff>
    </from>
    <ext cx="333375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333375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</row>
      <rowOff>0</rowOff>
    </from>
    <ext cx="333375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3333750" cy="29622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</row>
      <rowOff>0</rowOff>
    </from>
    <ext cx="3333750" cy="29622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3333750" cy="27527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9</col>
      <colOff>0</colOff>
      <row>1</row>
      <rowOff>0</rowOff>
    </from>
    <ext cx="3333750" cy="27527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333375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9</col>
      <colOff>0</colOff>
      <row>1</row>
      <rowOff>0</rowOff>
    </from>
    <ext cx="333375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3333750" cy="2543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8</col>
      <colOff>0</colOff>
      <row>1</row>
      <rowOff>0</rowOff>
    </from>
    <ext cx="3333750" cy="25431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40" customWidth="1" min="4" max="4"/>
  </cols>
  <sheetData>
    <row r="1" ht="30" customHeight="1">
      <c r="A1" s="21" t="inlineStr">
        <is>
          <t>📚 TIPS &amp; MANUAL QUICK REFERENCE</t>
        </is>
      </c>
    </row>
    <row r="2" ht="30" customHeight="1">
      <c r="A2" s="22" t="inlineStr">
        <is>
          <t>This workbook follows a 7-step process (Steps 0-6). Work through each tab in order.</t>
        </is>
      </c>
    </row>
    <row r="4">
      <c r="A4" s="23" t="inlineStr">
        <is>
          <t>Topic</t>
        </is>
      </c>
      <c r="B4" s="23" t="inlineStr">
        <is>
          <t>Excel Sheet</t>
        </is>
      </c>
      <c r="C4" s="23" t="inlineStr">
        <is>
          <t>Manual Pages</t>
        </is>
      </c>
      <c r="D4" s="23" t="inlineStr">
        <is>
          <t>When to Use</t>
        </is>
      </c>
    </row>
    <row r="5">
      <c r="A5" s="24" t="inlineStr">
        <is>
          <t>Step 0: Plan Setup &amp; Orientation</t>
        </is>
      </c>
      <c r="B5" s="25" t="inlineStr">
        <is>
          <t>Project Info</t>
        </is>
      </c>
      <c r="C5" s="26" t="inlineStr">
        <is>
          <t>p. 4-7</t>
        </is>
      </c>
      <c r="D5" s="27" t="inlineStr">
        <is>
          <t>FIRST - Verify plan revision and scale</t>
        </is>
      </c>
    </row>
    <row r="6">
      <c r="A6" s="24" t="inlineStr">
        <is>
          <t>Step 1: Foundation &amp; Slab</t>
        </is>
      </c>
      <c r="B6" s="25" t="inlineStr">
        <is>
          <t>Foundation</t>
        </is>
      </c>
      <c r="C6" s="26" t="inlineStr">
        <is>
          <t>p. 8-10</t>
        </is>
      </c>
      <c r="D6" s="27" t="inlineStr">
        <is>
          <t>Measure slab perimeter, beams, footings</t>
        </is>
      </c>
    </row>
    <row r="7">
      <c r="A7" s="24" t="inlineStr">
        <is>
          <t>Step 2: Wall Framing</t>
        </is>
      </c>
      <c r="B7" s="25" t="inlineStr">
        <is>
          <t>Wall Framing</t>
        </is>
      </c>
      <c r="C7" s="26" t="inlineStr">
        <is>
          <t>p. 14-17</t>
        </is>
      </c>
      <c r="D7" s="27" t="inlineStr">
        <is>
          <t>Count studs, plates, headers for all walls</t>
        </is>
      </c>
    </row>
    <row r="8">
      <c r="A8" s="24" t="inlineStr">
        <is>
          <t>Step 3: Roof Takeoff</t>
        </is>
      </c>
      <c r="B8" s="25" t="inlineStr">
        <is>
          <t>Roof Takeoff</t>
        </is>
      </c>
      <c r="C8" s="26" t="inlineStr">
        <is>
          <t>p. 18-20</t>
        </is>
      </c>
      <c r="D8" s="27" t="inlineStr">
        <is>
          <t>Calculate sheathing, shingles, ridge, fascia</t>
        </is>
      </c>
    </row>
    <row r="9">
      <c r="A9" s="24" t="inlineStr">
        <is>
          <t>Step 4: Siding &amp; Exterior</t>
        </is>
      </c>
      <c r="B9" s="25" t="inlineStr">
        <is>
          <t>Siding &amp; Exterior</t>
        </is>
      </c>
      <c r="C9" s="26" t="inlineStr">
        <is>
          <t>p. 21-23</t>
        </is>
      </c>
      <c r="D9" s="27" t="inlineStr">
        <is>
          <t>Measure siding, soffit, trim from elevations</t>
        </is>
      </c>
    </row>
    <row r="10">
      <c r="A10" s="24" t="inlineStr">
        <is>
          <t>Step 5: Windows &amp; Doors</t>
        </is>
      </c>
      <c r="B10" s="25" t="inlineStr">
        <is>
          <t>Windows &amp; Doors</t>
        </is>
      </c>
      <c r="C10" s="26" t="inlineStr">
        <is>
          <t>p. 24-25</t>
        </is>
      </c>
      <c r="D10" s="27" t="inlineStr">
        <is>
          <t>Use schedule to count all openings</t>
        </is>
      </c>
    </row>
    <row r="11">
      <c r="A11" s="24" t="inlineStr">
        <is>
          <t>Step 6: Material Summary</t>
        </is>
      </c>
      <c r="B11" s="25" t="inlineStr">
        <is>
          <t>Material Summary</t>
        </is>
      </c>
      <c r="C11" s="26" t="inlineStr">
        <is>
          <t>p. 26-27</t>
        </is>
      </c>
      <c r="D11" s="27" t="inlineStr">
        <is>
          <t>LAST - Compile all quantities for quote</t>
        </is>
      </c>
    </row>
    <row r="12">
      <c r="A12" s="24" t="inlineStr">
        <is>
          <t>Quick Reference Tables</t>
        </is>
      </c>
      <c r="B12" s="25" t="inlineStr">
        <is>
          <t>Conversion Tables</t>
        </is>
      </c>
      <c r="C12" s="26" t="inlineStr">
        <is>
          <t>p. 9, 19</t>
        </is>
      </c>
      <c r="D12" s="27" t="inlineStr">
        <is>
          <t>Slope factors, stud spacing, waste factors</t>
        </is>
      </c>
    </row>
    <row r="15">
      <c r="A15" s="28" t="inlineStr">
        <is>
          <t>💡 GENERAL TIPS FOR ALL TAKEOFFS</t>
        </is>
      </c>
    </row>
    <row r="16" ht="20" customHeight="1">
      <c r="A16" s="22" t="inlineStr">
        <is>
          <t>✓ Always verify you have the latest plan revision before starting</t>
        </is>
      </c>
    </row>
    <row r="17" ht="20" customHeight="1">
      <c r="A17" s="22" t="inlineStr">
        <is>
          <t>✓ Document ALL assumptions - write them in the Notes columns</t>
        </is>
      </c>
    </row>
    <row r="18" ht="20" customHeight="1">
      <c r="A18" s="22" t="inlineStr">
        <is>
          <t>✓ When in doubt, call the builder/architect for clarification</t>
        </is>
      </c>
    </row>
    <row r="19" ht="20" customHeight="1">
      <c r="A19" s="22" t="inlineStr">
        <is>
          <t>✓ Use the diagrams in this workbook AND the PDF manual together</t>
        </is>
      </c>
    </row>
    <row r="20" ht="20" customHeight="1">
      <c r="A20" s="22" t="inlineStr">
        <is>
          <t>✓ Double-check your math - review formulas before finalizing</t>
        </is>
      </c>
    </row>
    <row r="21" ht="20" customHeight="1">
      <c r="A21" s="22" t="inlineStr">
        <is>
          <t>✓ Print a copy of your takeoff and keep it with the quote for reference</t>
        </is>
      </c>
    </row>
    <row r="22" ht="20" customHeight="1">
      <c r="A22" s="22" t="inlineStr">
        <is>
          <t>✓ A typical residential takeoff takes 3-4 hours - don't rush!</t>
        </is>
      </c>
    </row>
  </sheetData>
  <mergeCells count="10">
    <mergeCell ref="A1:D1"/>
    <mergeCell ref="A17:D17"/>
    <mergeCell ref="A18:D18"/>
    <mergeCell ref="A22:D22"/>
    <mergeCell ref="A20:D20"/>
    <mergeCell ref="A21:D21"/>
    <mergeCell ref="A15:D15"/>
    <mergeCell ref="A16:D16"/>
    <mergeCell ref="A2:D2"/>
    <mergeCell ref="A19:D19"/>
  </mergeCells>
  <pageMargins left="0.75" right="0.75" top="1" bottom="1" header="0.5" footer="0.5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 ht="25" customHeight="1">
      <c r="A1" s="29" t="inlineStr">
        <is>
          <t>STEP 0 — PLAN SETUP &amp; ORIENTATION</t>
        </is>
      </c>
    </row>
    <row r="2">
      <c r="A2" s="30" t="inlineStr">
        <is>
          <t>INSTRUCTIONS:</t>
        </is>
      </c>
    </row>
    <row r="3">
      <c r="A3" s="31" t="inlineStr">
        <is>
          <t>1. Verify you have the LATEST REVISION of the plan set</t>
        </is>
      </c>
      <c r="E3" s="32" t="inlineStr">
        <is>
          <t>☐ Latest revision confirmed</t>
        </is>
      </c>
    </row>
    <row r="4">
      <c r="A4" s="31" t="inlineStr">
        <is>
          <t>2. Check the scale on the title block (usually 1/4" = 1'-0")</t>
        </is>
      </c>
      <c r="E4" s="32" t="inlineStr">
        <is>
          <t>☐ Scale verified</t>
        </is>
      </c>
    </row>
    <row r="5">
      <c r="A5" s="31" t="inlineStr">
        <is>
          <t>3. Verify scale by measuring a known dimension with your scale ruler</t>
        </is>
      </c>
      <c r="E5" s="32" t="inlineStr">
        <is>
          <t>☐ Windstorm/code notes checked</t>
        </is>
      </c>
    </row>
    <row r="6">
      <c r="A6" s="31" t="inlineStr">
        <is>
          <t>4. Note any addenda, alternates, or special conditions</t>
        </is>
      </c>
    </row>
    <row r="7">
      <c r="A7" s="33" t="inlineStr">
        <is>
          <t>📖 See Manual: p. 4-7 — Getting Started &amp; Plan Orientation</t>
        </is>
      </c>
    </row>
    <row r="9">
      <c r="A9" s="29" t="inlineStr">
        <is>
          <t>STEP 0 — PLAN SETUP &amp; ORIENTATION</t>
        </is>
      </c>
    </row>
    <row r="10">
      <c r="A10" s="30" t="inlineStr">
        <is>
          <t>INSTRUCTIONS:</t>
        </is>
      </c>
    </row>
    <row r="11">
      <c r="A11" s="31" t="inlineStr">
        <is>
          <t>1. Verify you have the LATEST REVISION of the plan set</t>
        </is>
      </c>
      <c r="E11" s="32" t="inlineStr">
        <is>
          <t>☐ Latest revision confirmed</t>
        </is>
      </c>
    </row>
    <row r="12">
      <c r="A12" s="31" t="inlineStr">
        <is>
          <t>2. Check the scale on the title block (usually 1/4" = 1'-0")</t>
        </is>
      </c>
      <c r="E12" s="32" t="inlineStr">
        <is>
          <t>☐ Scale verified</t>
        </is>
      </c>
    </row>
    <row r="13">
      <c r="A13" s="31" t="inlineStr">
        <is>
          <t>3. Verify scale by measuring a known dimension with your scale ruler</t>
        </is>
      </c>
      <c r="E13" s="32" t="inlineStr">
        <is>
          <t>☐ Windstorm/code notes checked</t>
        </is>
      </c>
    </row>
    <row r="14">
      <c r="A14" s="31" t="inlineStr">
        <is>
          <t>4. Note any addenda, alternates, or special conditions</t>
        </is>
      </c>
    </row>
    <row r="15">
      <c r="A15" s="33" t="inlineStr">
        <is>
          <t>📖 See Manual: p. 4-7 — Getting Started &amp; Plan Orientation</t>
        </is>
      </c>
    </row>
    <row r="16"/>
    <row r="17">
      <c r="A17" s="29" t="inlineStr">
        <is>
          <t>STEP 0 — PLAN SETUP &amp; ORIENTATION</t>
        </is>
      </c>
    </row>
    <row r="18">
      <c r="A18" s="30" t="inlineStr">
        <is>
          <t>INSTRUCTIONS:</t>
        </is>
      </c>
    </row>
    <row r="19">
      <c r="A19" s="31" t="inlineStr">
        <is>
          <t>1. Verify you have the LATEST REVISION of the plan set</t>
        </is>
      </c>
      <c r="E19" s="32" t="inlineStr">
        <is>
          <t>☐ Latest revision confirmed</t>
        </is>
      </c>
    </row>
    <row r="20">
      <c r="A20" s="31" t="inlineStr">
        <is>
          <t>2. Check the scale on the title block (usually 1/4" = 1'-0")</t>
        </is>
      </c>
      <c r="E20" s="32" t="inlineStr">
        <is>
          <t>☐ Scale verified</t>
        </is>
      </c>
    </row>
    <row r="21">
      <c r="A21" s="31" t="inlineStr">
        <is>
          <t>3. Verify scale by measuring a known dimension with your scale ruler</t>
        </is>
      </c>
      <c r="E21" s="32" t="inlineStr">
        <is>
          <t>☐ Windstorm/code notes checked</t>
        </is>
      </c>
    </row>
    <row r="22">
      <c r="A22" s="31" t="inlineStr">
        <is>
          <t>4. Note any addenda, alternates, or special conditions</t>
        </is>
      </c>
    </row>
    <row r="23">
      <c r="A23" s="33" t="inlineStr">
        <is>
          <t>📖 See Manual: p. 4-7 — Getting Started &amp; Plan Orientation</t>
        </is>
      </c>
    </row>
    <row r="24"/>
    <row r="25">
      <c r="A25" s="1" t="inlineStr">
        <is>
          <t>BLUEPRINT TAKEOFF WORKSHEET</t>
        </is>
      </c>
    </row>
    <row r="26"/>
    <row r="27">
      <c r="A27" s="2" t="inlineStr">
        <is>
          <t>PROJECT INFORMATION</t>
        </is>
      </c>
    </row>
    <row r="28">
      <c r="A28" s="3" t="inlineStr">
        <is>
          <t>Project Name:</t>
        </is>
      </c>
      <c r="B28" s="4" t="n"/>
    </row>
    <row r="29">
      <c r="A29" s="3" t="inlineStr">
        <is>
          <t>Job Number:</t>
        </is>
      </c>
      <c r="B29" s="4" t="n"/>
    </row>
    <row r="30">
      <c r="A30" s="3" t="inlineStr">
        <is>
          <t>Builder/Customer:</t>
        </is>
      </c>
      <c r="B30" s="4" t="n"/>
      <c r="H30" s="43" t="inlineStr">
        <is>
          <t>Plan Orientation Diagram — See Manual p. 5</t>
        </is>
      </c>
    </row>
    <row r="31">
      <c r="A31" s="3" t="inlineStr">
        <is>
          <t>Address:</t>
        </is>
      </c>
      <c r="B31" s="4" t="n"/>
    </row>
    <row r="32">
      <c r="A32" s="3" t="inlineStr">
        <is>
          <t>Plan Set Date:</t>
        </is>
      </c>
      <c r="B32" s="4" t="n"/>
    </row>
    <row r="33">
      <c r="A33" s="3" t="inlineStr">
        <is>
          <t>Revision Number:</t>
        </is>
      </c>
      <c r="B33" s="4" t="n"/>
    </row>
    <row r="34">
      <c r="A34" s="3" t="inlineStr">
        <is>
          <t>Takeoff By:</t>
        </is>
      </c>
      <c r="B34" s="4" t="n"/>
    </row>
    <row r="35">
      <c r="A35" s="3" t="inlineStr">
        <is>
          <t>Date Completed:</t>
        </is>
      </c>
      <c r="B35" s="4" t="n"/>
    </row>
    <row r="36">
      <c r="A36" s="3" t="inlineStr">
        <is>
          <t>Checked By:</t>
        </is>
      </c>
      <c r="B36" s="4" t="n"/>
    </row>
    <row r="37"/>
    <row r="38">
      <c r="A38" s="2" t="inlineStr">
        <is>
          <t>BUILDING SPECIFICATIONS</t>
        </is>
      </c>
    </row>
    <row r="39">
      <c r="A39" s="3" t="inlineStr">
        <is>
          <t>Building Type:</t>
        </is>
      </c>
      <c r="B39" s="4" t="n"/>
    </row>
    <row r="40">
      <c r="A40" s="3" t="inlineStr">
        <is>
          <t>Stories:</t>
        </is>
      </c>
      <c r="B40" s="4" t="n"/>
    </row>
    <row r="41">
      <c r="A41" s="3" t="inlineStr">
        <is>
          <t>Foundation Type:</t>
        </is>
      </c>
      <c r="B41" s="4" t="n"/>
    </row>
    <row r="42">
      <c r="A42" s="3" t="inlineStr">
        <is>
          <t>Roof Type:</t>
        </is>
      </c>
      <c r="B42" s="4" t="n"/>
    </row>
    <row r="43">
      <c r="A43" s="3" t="inlineStr">
        <is>
          <t>Total Square Footage:</t>
        </is>
      </c>
      <c r="B43" s="4" t="n"/>
    </row>
    <row r="44">
      <c r="A44" s="3" t="inlineStr">
        <is>
          <t>Wall Height:</t>
        </is>
      </c>
      <c r="B44" s="4" t="n"/>
    </row>
    <row r="45"/>
    <row r="46">
      <c r="A46" s="2" t="inlineStr">
        <is>
          <t>REGIONAL NOTES (Southeast Texas)</t>
        </is>
      </c>
    </row>
    <row r="47">
      <c r="A47" t="inlineStr">
        <is>
          <t>• Slab foundations are standard (high water table)</t>
        </is>
      </c>
    </row>
    <row r="48">
      <c r="A48" t="inlineStr">
        <is>
          <t>• Consider humidity-resistant materials</t>
        </is>
      </c>
    </row>
    <row r="49">
      <c r="A49" t="inlineStr">
        <is>
          <t>• Windstorm requirements (hurricane zone)</t>
        </is>
      </c>
    </row>
    <row r="50">
      <c r="A50" t="inlineStr">
        <is>
          <t>• Treated lumber required for bottom plates</t>
        </is>
      </c>
    </row>
    <row r="51">
      <c r="A51" t="inlineStr">
        <is>
          <t>• Additional anchor bolts per wind code</t>
        </is>
      </c>
    </row>
  </sheetData>
  <mergeCells count="10">
    <mergeCell ref="A5:D5"/>
    <mergeCell ref="E4:F4"/>
    <mergeCell ref="A7:F7"/>
    <mergeCell ref="A6:D6"/>
    <mergeCell ref="A4:D4"/>
    <mergeCell ref="A1:F1"/>
    <mergeCell ref="A3:D3"/>
    <mergeCell ref="E5:F5"/>
    <mergeCell ref="A7:D7"/>
    <mergeCell ref="E3:F3"/>
  </mergeCells>
  <pageMargins left="0.75" right="0.75" top="1" bottom="1" header="0.5" footer="0.5"/>
  <pageSetup orientation="landscape" paperSize="1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5" customHeight="1">
      <c r="A1" s="34" t="inlineStr">
        <is>
          <t>STEP 2 — WALL FRAMING TAKEOFF</t>
        </is>
      </c>
    </row>
    <row r="2">
      <c r="A2" s="30" t="inlineStr">
        <is>
          <t>INSTRUCTIONS:</t>
        </is>
      </c>
      <c r="H2" s="35" t="inlineStr">
        <is>
          <t>💡 TIPS</t>
        </is>
      </c>
    </row>
    <row r="3">
      <c r="A3" s="27" t="inlineStr">
        <is>
          <t>1. Highlight all exterior walls on the floor plan</t>
        </is>
      </c>
      <c r="H3" s="27" t="inlineStr">
        <is>
          <t>• Add extra studs for corners (3) and tees (2)</t>
        </is>
      </c>
    </row>
    <row r="4">
      <c r="A4" s="27" t="inlineStr">
        <is>
          <t>2. Label walls W1, W2, W3... moving clockwise from front left</t>
        </is>
      </c>
      <c r="H4" s="27" t="inlineStr">
        <is>
          <t>• Use header schedule for kings/jacks—don't guess</t>
        </is>
      </c>
    </row>
    <row r="5">
      <c r="A5" s="27" t="inlineStr">
        <is>
          <t>3. Measure each wall and enter: length, height, stud spacing</t>
        </is>
      </c>
      <c r="H5" s="27" t="inlineStr">
        <is>
          <t>• Remember the '+1' in stud count formula</t>
        </is>
      </c>
    </row>
    <row r="6">
      <c r="A6" s="27" t="inlineStr">
        <is>
          <t>4. Count corners, tees, and openings (windows/doors)</t>
        </is>
      </c>
      <c r="H6" s="36" t="inlineStr">
        <is>
          <t>📖 Manual: p. 14-17 — Wall Framing</t>
        </is>
      </c>
    </row>
    <row r="8">
      <c r="A8" s="34" t="inlineStr">
        <is>
          <t>STEP 2 — WALL FRAMING TAKEOFF</t>
        </is>
      </c>
    </row>
    <row r="9">
      <c r="A9" s="30" t="inlineStr">
        <is>
          <t>INSTRUCTIONS:</t>
        </is>
      </c>
      <c r="H9" s="35" t="inlineStr">
        <is>
          <t>💡 TIPS</t>
        </is>
      </c>
    </row>
    <row r="10">
      <c r="A10" s="27" t="inlineStr">
        <is>
          <t>1. Highlight all exterior walls on the floor plan</t>
        </is>
      </c>
      <c r="H10" s="27" t="inlineStr">
        <is>
          <t>• Add extra studs for corners (3) and tees (2)</t>
        </is>
      </c>
    </row>
    <row r="11">
      <c r="A11" s="27" t="inlineStr">
        <is>
          <t>2. Label walls W1, W2, W3... moving clockwise from front left</t>
        </is>
      </c>
      <c r="H11" s="27" t="inlineStr">
        <is>
          <t>• Use header schedule for kings/jacks—don't guess</t>
        </is>
      </c>
    </row>
    <row r="12">
      <c r="A12" s="27" t="inlineStr">
        <is>
          <t>3. Measure each wall and enter: length, height, stud spacing</t>
        </is>
      </c>
      <c r="H12" s="27" t="inlineStr">
        <is>
          <t>• Remember the '+1' in stud count formula</t>
        </is>
      </c>
    </row>
    <row r="13">
      <c r="A13" s="27" t="inlineStr">
        <is>
          <t>4. Count corners, tees, and openings (windows/doors)</t>
        </is>
      </c>
      <c r="H13" s="36" t="inlineStr">
        <is>
          <t>📖 Manual: p. 14-17 — Wall Framing</t>
        </is>
      </c>
    </row>
    <row r="14"/>
    <row r="15">
      <c r="A15" s="34" t="inlineStr">
        <is>
          <t>STEP 2 — WALL FRAMING TAKEOFF</t>
        </is>
      </c>
    </row>
    <row r="16">
      <c r="A16" s="30" t="inlineStr">
        <is>
          <t>INSTRUCTIONS:</t>
        </is>
      </c>
      <c r="H16" s="35" t="inlineStr">
        <is>
          <t>💡 TIPS</t>
        </is>
      </c>
    </row>
    <row r="17">
      <c r="A17" s="27" t="inlineStr">
        <is>
          <t>1. Highlight all exterior walls on the floor plan</t>
        </is>
      </c>
      <c r="H17" s="27" t="inlineStr">
        <is>
          <t>• Add extra studs for corners (3) and tees (2)</t>
        </is>
      </c>
    </row>
    <row r="18">
      <c r="A18" s="27" t="inlineStr">
        <is>
          <t>2. Label walls W1, W2, W3... moving clockwise from front left</t>
        </is>
      </c>
      <c r="H18" s="27" t="inlineStr">
        <is>
          <t>• Use header schedule for kings/jacks—don't guess</t>
        </is>
      </c>
    </row>
    <row r="19">
      <c r="A19" s="27" t="inlineStr">
        <is>
          <t>3. Measure each wall and enter: length, height, stud spacing</t>
        </is>
      </c>
      <c r="H19" s="27" t="inlineStr">
        <is>
          <t>• Remember the '+1' in stud count formula</t>
        </is>
      </c>
    </row>
    <row r="20">
      <c r="A20" s="27" t="inlineStr">
        <is>
          <t>4. Count corners, tees, and openings (windows/doors)</t>
        </is>
      </c>
      <c r="H20" s="36" t="inlineStr">
        <is>
          <t>📖 Manual: p. 14-17 — Wall Framing</t>
        </is>
      </c>
    </row>
    <row r="21"/>
    <row r="22">
      <c r="A22" s="5" t="inlineStr">
        <is>
          <t>WALL FRAMING TAKEOFF</t>
        </is>
      </c>
    </row>
    <row r="23"/>
    <row r="24">
      <c r="A24" s="6" t="inlineStr">
        <is>
          <t>Wall ID</t>
        </is>
      </c>
      <c r="B24" s="6" t="inlineStr">
        <is>
          <t>Location</t>
        </is>
      </c>
      <c r="C24" s="6" t="inlineStr">
        <is>
          <t>Length (ft)</t>
        </is>
      </c>
      <c r="D24" s="6" t="inlineStr">
        <is>
          <t>Height (ft)</t>
        </is>
      </c>
      <c r="E24" s="6" t="inlineStr">
        <is>
          <t>Stud Spacing</t>
        </is>
      </c>
      <c r="F24" s="6" t="inlineStr">
        <is>
          <t>Base Studs</t>
        </is>
      </c>
      <c r="G24" s="6" t="inlineStr">
        <is>
          <t>Corner Adds</t>
        </is>
      </c>
      <c r="H24" s="6" t="inlineStr">
        <is>
          <t>Opening Adj</t>
        </is>
      </c>
      <c r="I24" s="6" t="inlineStr">
        <is>
          <t>Total Studs</t>
        </is>
      </c>
      <c r="J24" s="6" t="inlineStr">
        <is>
          <t>Bottom Plate LF</t>
        </is>
      </c>
      <c r="K24" s="6" t="inlineStr">
        <is>
          <t>Top Plate LF</t>
        </is>
      </c>
      <c r="L24" s="6" t="inlineStr">
        <is>
          <t>Header Notes</t>
        </is>
      </c>
      <c r="M24" s="6" t="inlineStr">
        <is>
          <t>Treated?</t>
        </is>
      </c>
    </row>
    <row r="25">
      <c r="F25">
        <f>IF(C4="","",INT(C4*12/16)+1)</f>
        <v/>
      </c>
      <c r="I25">
        <f>IF(F4="","",F4+G4+H4)</f>
        <v/>
      </c>
      <c r="J25">
        <f>IF(C4="","",C4)</f>
        <v/>
      </c>
      <c r="K25">
        <f>IF(C4="","",C4*2)</f>
        <v/>
      </c>
    </row>
    <row r="26">
      <c r="F26">
        <f>IF(C5="","",INT(C5*12/16)+1)</f>
        <v/>
      </c>
      <c r="I26">
        <f>IF(F5="","",F5+G5+H5)</f>
        <v/>
      </c>
      <c r="J26">
        <f>IF(C5="","",C5)</f>
        <v/>
      </c>
      <c r="K26">
        <f>IF(C5="","",C5*2)</f>
        <v/>
      </c>
    </row>
    <row r="27">
      <c r="F27">
        <f>IF(C6="","",INT(C6*12/16)+1)</f>
        <v/>
      </c>
      <c r="I27">
        <f>IF(F6="","",F6+G6+H6)</f>
        <v/>
      </c>
      <c r="J27">
        <f>IF(C6="","",C6)</f>
        <v/>
      </c>
      <c r="K27">
        <f>IF(C6="","",C6*2)</f>
        <v/>
      </c>
    </row>
    <row r="28">
      <c r="F28">
        <f>IF(C7="","",INT(C7*12/16)+1)</f>
        <v/>
      </c>
      <c r="I28">
        <f>IF(F7="","",F7+G7+H7)</f>
        <v/>
      </c>
      <c r="J28">
        <f>IF(C7="","",C7)</f>
        <v/>
      </c>
      <c r="K28">
        <f>IF(C7="","",C7*2)</f>
        <v/>
      </c>
    </row>
    <row r="29">
      <c r="F29">
        <f>IF(C8="","",INT(C8*12/16)+1)</f>
        <v/>
      </c>
      <c r="I29">
        <f>IF(F8="","",F8+G8+H8)</f>
        <v/>
      </c>
      <c r="J29">
        <f>IF(C8="","",C8)</f>
        <v/>
      </c>
      <c r="K29">
        <f>IF(C8="","",C8*2)</f>
        <v/>
      </c>
    </row>
    <row r="30">
      <c r="F30">
        <f>IF(C9="","",INT(C9*12/16)+1)</f>
        <v/>
      </c>
      <c r="I30">
        <f>IF(F9="","",F9+G9+H9)</f>
        <v/>
      </c>
      <c r="J30">
        <f>IF(C9="","",C9)</f>
        <v/>
      </c>
      <c r="K30">
        <f>IF(C9="","",C9*2)</f>
        <v/>
      </c>
    </row>
    <row r="31">
      <c r="F31">
        <f>IF(C10="","",INT(C10*12/16)+1)</f>
        <v/>
      </c>
      <c r="I31">
        <f>IF(F10="","",F10+G10+H10)</f>
        <v/>
      </c>
      <c r="J31">
        <f>IF(C10="","",C10)</f>
        <v/>
      </c>
      <c r="K31">
        <f>IF(C10="","",C10*2)</f>
        <v/>
      </c>
    </row>
    <row r="32">
      <c r="F32">
        <f>IF(C11="","",INT(C11*12/16)+1)</f>
        <v/>
      </c>
      <c r="I32">
        <f>IF(F11="","",F11+G11+H11)</f>
        <v/>
      </c>
      <c r="J32">
        <f>IF(C11="","",C11)</f>
        <v/>
      </c>
      <c r="K32" s="43" t="inlineStr">
        <is>
          <t>Wall Section — Manual p. 14-17</t>
        </is>
      </c>
    </row>
    <row r="33">
      <c r="F33">
        <f>IF(C12="","",INT(C12*12/16)+1)</f>
        <v/>
      </c>
      <c r="I33">
        <f>IF(F12="","",F12+G12+H12)</f>
        <v/>
      </c>
      <c r="J33">
        <f>IF(C12="","",C12)</f>
        <v/>
      </c>
      <c r="K33">
        <f>IF(C12="","",C12*2)</f>
        <v/>
      </c>
    </row>
    <row r="34">
      <c r="F34">
        <f>IF(C13="","",INT(C13*12/16)+1)</f>
        <v/>
      </c>
      <c r="I34">
        <f>IF(F13="","",F13+G13+H13)</f>
        <v/>
      </c>
      <c r="J34">
        <f>IF(C13="","",C13)</f>
        <v/>
      </c>
      <c r="K34">
        <f>IF(C13="","",C13*2)</f>
        <v/>
      </c>
    </row>
    <row r="35">
      <c r="F35">
        <f>IF(C14="","",INT(C14*12/16)+1)</f>
        <v/>
      </c>
      <c r="I35">
        <f>IF(F14="","",F14+G14+H14)</f>
        <v/>
      </c>
      <c r="J35">
        <f>IF(C14="","",C14)</f>
        <v/>
      </c>
      <c r="K35">
        <f>IF(C14="","",C14*2)</f>
        <v/>
      </c>
    </row>
    <row r="36">
      <c r="F36">
        <f>IF(C15="","",INT(C15*12/16)+1)</f>
        <v/>
      </c>
      <c r="I36">
        <f>IF(F15="","",F15+G15+H15)</f>
        <v/>
      </c>
      <c r="J36">
        <f>IF(C15="","",C15)</f>
        <v/>
      </c>
      <c r="K36">
        <f>IF(C15="","",C15*2)</f>
        <v/>
      </c>
    </row>
    <row r="37">
      <c r="F37">
        <f>IF(C16="","",INT(C16*12/16)+1)</f>
        <v/>
      </c>
      <c r="I37">
        <f>IF(F16="","",F16+G16+H16)</f>
        <v/>
      </c>
      <c r="J37">
        <f>IF(C16="","",C16)</f>
        <v/>
      </c>
      <c r="K37">
        <f>IF(C16="","",C16*2)</f>
        <v/>
      </c>
    </row>
    <row r="38">
      <c r="F38">
        <f>IF(C17="","",INT(C17*12/16)+1)</f>
        <v/>
      </c>
      <c r="I38">
        <f>IF(F17="","",F17+G17+H17)</f>
        <v/>
      </c>
      <c r="J38">
        <f>IF(C17="","",C17)</f>
        <v/>
      </c>
      <c r="K38">
        <f>IF(C17="","",C17*2)</f>
        <v/>
      </c>
    </row>
    <row r="39">
      <c r="F39">
        <f>IF(C18="","",INT(C18*12/16)+1)</f>
        <v/>
      </c>
      <c r="I39">
        <f>IF(F18="","",F18+G18+H18)</f>
        <v/>
      </c>
      <c r="J39">
        <f>IF(C18="","",C18)</f>
        <v/>
      </c>
      <c r="K39">
        <f>IF(C18="","",C18*2)</f>
        <v/>
      </c>
    </row>
    <row r="40">
      <c r="F40">
        <f>IF(C19="","",INT(C19*12/16)+1)</f>
        <v/>
      </c>
      <c r="I40">
        <f>IF(F19="","",F19+G19+H19)</f>
        <v/>
      </c>
      <c r="J40">
        <f>IF(C19="","",C19)</f>
        <v/>
      </c>
      <c r="K40">
        <f>IF(C19="","",C19*2)</f>
        <v/>
      </c>
    </row>
    <row r="41">
      <c r="F41">
        <f>IF(C20="","",INT(C20*12/16)+1)</f>
        <v/>
      </c>
      <c r="I41">
        <f>IF(F20="","",F20+G20+H20)</f>
        <v/>
      </c>
      <c r="J41">
        <f>IF(C20="","",C20)</f>
        <v/>
      </c>
      <c r="K41">
        <f>IF(C20="","",C20*2)</f>
        <v/>
      </c>
    </row>
    <row r="42">
      <c r="F42">
        <f>IF(C21="","",INT(C21*12/16)+1)</f>
        <v/>
      </c>
      <c r="I42">
        <f>IF(F21="","",F21+G21+H21)</f>
        <v/>
      </c>
      <c r="J42">
        <f>IF(C21="","",C21)</f>
        <v/>
      </c>
      <c r="K42">
        <f>IF(C21="","",C21*2)</f>
        <v/>
      </c>
    </row>
    <row r="43">
      <c r="F43">
        <f>IF(C22="","",INT(C22*12/16)+1)</f>
        <v/>
      </c>
      <c r="I43">
        <f>IF(F22="","",F22+G22+H22)</f>
        <v/>
      </c>
      <c r="J43">
        <f>IF(C22="","",C22)</f>
        <v/>
      </c>
      <c r="K43">
        <f>IF(C22="","",C22*2)</f>
        <v/>
      </c>
    </row>
    <row r="44">
      <c r="F44">
        <f>IF(C23="","",INT(C23*12/16)+1)</f>
        <v/>
      </c>
      <c r="I44">
        <f>IF(F23="","",F23+G23+H23)</f>
        <v/>
      </c>
      <c r="J44">
        <f>IF(C23="","",C23)</f>
        <v/>
      </c>
      <c r="K44">
        <f>IF(C23="","",C23*2)</f>
        <v/>
      </c>
    </row>
    <row r="45">
      <c r="A45" s="3" t="inlineStr">
        <is>
          <t>TOTALS</t>
        </is>
      </c>
      <c r="I45" s="7">
        <f>SUM(I4:I23)</f>
        <v/>
      </c>
      <c r="J45" s="7">
        <f>SUM(J4:J23)</f>
        <v/>
      </c>
      <c r="K45" s="7">
        <f>SUM(K4:K23)</f>
        <v/>
      </c>
    </row>
    <row r="46"/>
    <row r="47">
      <c r="A47" s="8" t="inlineStr">
        <is>
          <t>INSTRUCTIONS:</t>
        </is>
      </c>
    </row>
    <row r="48">
      <c r="A48" t="inlineStr">
        <is>
          <t>1. Enter wall length in feet (e.g., 24)</t>
        </is>
      </c>
    </row>
    <row r="49">
      <c r="A49" t="inlineStr">
        <is>
          <t>2. Enter wall height in feet (e.g., 8)</t>
        </is>
      </c>
    </row>
    <row r="50">
      <c r="A50" t="inlineStr">
        <is>
          <t>3. Stud spacing: 16 or 24 (16 is most common)</t>
        </is>
      </c>
    </row>
    <row r="51">
      <c r="A51" t="inlineStr">
        <is>
          <t>4. Corner Adds: +2 for exterior corners, +1 for T-intersections</t>
        </is>
      </c>
    </row>
    <row r="52">
      <c r="A52" t="inlineStr">
        <is>
          <t>5. Opening Adj: Count king/jack studs minus displaced studs</t>
        </is>
      </c>
    </row>
  </sheetData>
  <mergeCells count="10">
    <mergeCell ref="A1:M1"/>
    <mergeCell ref="A5:F5"/>
    <mergeCell ref="H5:J5"/>
    <mergeCell ref="H4:J4"/>
    <mergeCell ref="A6:F6"/>
    <mergeCell ref="A4:F4"/>
    <mergeCell ref="H2:J2"/>
    <mergeCell ref="A3:F3"/>
    <mergeCell ref="H3:J3"/>
    <mergeCell ref="H6:J6"/>
  </mergeCells>
  <pageMargins left="0.75" right="0.75" top="1" bottom="1" header="0.5" footer="0.5"/>
  <pageSetup orientation="landscape" paperSize="1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5" customHeight="1">
      <c r="A1" s="37" t="inlineStr">
        <is>
          <t>STEP 3 — ROOF TAKEOFF</t>
        </is>
      </c>
    </row>
    <row r="2">
      <c r="A2" s="30" t="inlineStr">
        <is>
          <t>INSTRUCTIONS:</t>
        </is>
      </c>
      <c r="H2" s="35" t="inlineStr">
        <is>
          <t>💡 TIPS</t>
        </is>
      </c>
    </row>
    <row r="3">
      <c r="A3" s="27" t="inlineStr">
        <is>
          <t>1. Locate roof plan and framing details</t>
        </is>
      </c>
      <c r="H3" s="27" t="inlineStr">
        <is>
          <t>• Include overhangs in width/length for sheathing</t>
        </is>
      </c>
    </row>
    <row r="4">
      <c r="A4" s="27" t="inlineStr">
        <is>
          <t>2. For each roof plane, record: width, length, pitch, overhang</t>
        </is>
      </c>
      <c r="H4" s="27" t="inlineStr">
        <is>
          <t>• Don't forget porch and garage roofs</t>
        </is>
      </c>
    </row>
    <row r="5">
      <c r="A5" s="27" t="inlineStr">
        <is>
          <t>3. Use slope factor table to calculate sheathing area</t>
        </is>
      </c>
      <c r="H5" s="27" t="inlineStr">
        <is>
          <t>• Add 10-15% waste for shingles</t>
        </is>
      </c>
    </row>
    <row r="6">
      <c r="A6" s="27" t="inlineStr">
        <is>
          <t>4. Remember: porch and garage roofs count too!</t>
        </is>
      </c>
      <c r="H6" s="36" t="inlineStr">
        <is>
          <t>📖 Manual: p. 18-20 — Roof Takeoff</t>
        </is>
      </c>
    </row>
    <row r="8">
      <c r="A8" s="37" t="inlineStr">
        <is>
          <t>STEP 3 — ROOF TAKEOFF</t>
        </is>
      </c>
    </row>
    <row r="9">
      <c r="A9" s="30" t="inlineStr">
        <is>
          <t>INSTRUCTIONS:</t>
        </is>
      </c>
      <c r="H9" s="35" t="inlineStr">
        <is>
          <t>💡 TIPS</t>
        </is>
      </c>
    </row>
    <row r="10">
      <c r="A10" s="27" t="inlineStr">
        <is>
          <t>1. Locate roof plan and framing details</t>
        </is>
      </c>
      <c r="H10" s="27" t="inlineStr">
        <is>
          <t>• Include overhangs in width/length for sheathing</t>
        </is>
      </c>
    </row>
    <row r="11">
      <c r="A11" s="27" t="inlineStr">
        <is>
          <t>2. For each roof plane, record: width, length, pitch, overhang</t>
        </is>
      </c>
      <c r="H11" s="27" t="inlineStr">
        <is>
          <t>• Don't forget porch and garage roofs</t>
        </is>
      </c>
    </row>
    <row r="12">
      <c r="A12" s="27" t="inlineStr">
        <is>
          <t>3. Use slope factor table to calculate sheathing area</t>
        </is>
      </c>
      <c r="H12" s="27" t="inlineStr">
        <is>
          <t>• Add 10-15% waste for shingles</t>
        </is>
      </c>
    </row>
    <row r="13">
      <c r="A13" s="27" t="inlineStr">
        <is>
          <t>4. Remember: porch and garage roofs count too!</t>
        </is>
      </c>
      <c r="H13" s="36" t="inlineStr">
        <is>
          <t>📖 Manual: p. 18-20 — Roof Takeoff</t>
        </is>
      </c>
    </row>
    <row r="14"/>
    <row r="15">
      <c r="A15" s="37" t="inlineStr">
        <is>
          <t>STEP 3 — ROOF TAKEOFF</t>
        </is>
      </c>
    </row>
    <row r="16">
      <c r="A16" s="30" t="inlineStr">
        <is>
          <t>INSTRUCTIONS:</t>
        </is>
      </c>
      <c r="H16" s="35" t="inlineStr">
        <is>
          <t>💡 TIPS</t>
        </is>
      </c>
    </row>
    <row r="17">
      <c r="A17" s="27" t="inlineStr">
        <is>
          <t>1. Locate roof plan and framing details</t>
        </is>
      </c>
      <c r="H17" s="27" t="inlineStr">
        <is>
          <t>• Include overhangs in width/length for sheathing</t>
        </is>
      </c>
    </row>
    <row r="18">
      <c r="A18" s="27" t="inlineStr">
        <is>
          <t>2. For each roof plane, record: width, length, pitch, overhang</t>
        </is>
      </c>
      <c r="H18" s="27" t="inlineStr">
        <is>
          <t>• Don't forget porch and garage roofs</t>
        </is>
      </c>
    </row>
    <row r="19">
      <c r="A19" s="27" t="inlineStr">
        <is>
          <t>3. Use slope factor table to calculate sheathing area</t>
        </is>
      </c>
      <c r="H19" s="27" t="inlineStr">
        <is>
          <t>• Add 10-15% waste for shingles</t>
        </is>
      </c>
    </row>
    <row r="20">
      <c r="A20" s="27" t="inlineStr">
        <is>
          <t>4. Remember: porch and garage roofs count too!</t>
        </is>
      </c>
      <c r="H20" s="36" t="inlineStr">
        <is>
          <t>📖 Manual: p. 18-20 — Roof Takeoff</t>
        </is>
      </c>
    </row>
    <row r="21"/>
    <row r="22">
      <c r="A22" s="5" t="inlineStr">
        <is>
          <t>ROOF TAKEOFF CALCULATOR</t>
        </is>
      </c>
    </row>
    <row r="23"/>
    <row r="24">
      <c r="A24" s="8" t="inlineStr">
        <is>
          <t>SLOPE FACTORS (Reference)</t>
        </is>
      </c>
      <c r="D24" s="2" t="inlineStr">
        <is>
          <t>ROOF PLANE CALCULATIONS</t>
        </is>
      </c>
    </row>
    <row r="25">
      <c r="A25" s="3" t="inlineStr">
        <is>
          <t>Pitch</t>
        </is>
      </c>
      <c r="B25" s="3" t="inlineStr">
        <is>
          <t>Factor</t>
        </is>
      </c>
      <c r="D25" s="9" t="inlineStr">
        <is>
          <t>Plane ID</t>
        </is>
      </c>
      <c r="E25" s="9" t="inlineStr">
        <is>
          <t>Length (ft)</t>
        </is>
      </c>
      <c r="F25" s="9" t="inlineStr">
        <is>
          <t>Width (ft)</t>
        </is>
      </c>
      <c r="G25" s="9" t="inlineStr">
        <is>
          <t>Pitch</t>
        </is>
      </c>
      <c r="H25" s="9" t="inlineStr">
        <is>
          <t>Slope Factor</t>
        </is>
      </c>
      <c r="I25" s="9" t="inlineStr">
        <is>
          <t>Horiz Area (SF)</t>
        </is>
      </c>
      <c r="J25" s="9" t="inlineStr">
        <is>
          <t>Surface Area (SF)</t>
        </is>
      </c>
      <c r="K25" s="9" t="inlineStr">
        <is>
          <t>Sheathing Sheets</t>
        </is>
      </c>
      <c r="L25" s="9" t="inlineStr">
        <is>
          <t>Waste %</t>
        </is>
      </c>
      <c r="M25" s="9" t="inlineStr">
        <is>
          <t>Total Sheets</t>
        </is>
      </c>
      <c r="N25" s="9" t="inlineStr">
        <is>
          <t>Bundles</t>
        </is>
      </c>
    </row>
    <row r="26">
      <c r="A26" t="inlineStr">
        <is>
          <t>4:12</t>
        </is>
      </c>
      <c r="B26" t="n">
        <v>1.054</v>
      </c>
      <c r="I26">
        <f>IF(E5="","",E5*F5)</f>
        <v/>
      </c>
      <c r="J26">
        <f>IF(I5="","",I5*H5)</f>
        <v/>
      </c>
      <c r="K26">
        <f>IF(J5="","",J5/32)</f>
        <v/>
      </c>
      <c r="M26">
        <f>IF(K5="","",ROUNDUP(K5*(1+L5/100),0))</f>
        <v/>
      </c>
      <c r="N26">
        <f>IF(J5="","",ROUNDUP(J5/100*3,0))</f>
        <v/>
      </c>
    </row>
    <row r="27">
      <c r="A27" t="inlineStr">
        <is>
          <t>5:12</t>
        </is>
      </c>
      <c r="B27" t="n">
        <v>1.083</v>
      </c>
      <c r="I27">
        <f>IF(E6="","",E6*F6)</f>
        <v/>
      </c>
      <c r="J27">
        <f>IF(I6="","",I6*H6)</f>
        <v/>
      </c>
      <c r="K27">
        <f>IF(J6="","",J6/32)</f>
        <v/>
      </c>
      <c r="M27">
        <f>IF(K6="","",ROUNDUP(K6*(1+L6/100),0))</f>
        <v/>
      </c>
      <c r="N27">
        <f>IF(J6="","",ROUNDUP(J6/100*3,0))</f>
        <v/>
      </c>
    </row>
    <row r="28">
      <c r="A28" t="inlineStr">
        <is>
          <t>6:12</t>
        </is>
      </c>
      <c r="B28" t="n">
        <v>1.118</v>
      </c>
      <c r="I28">
        <f>IF(E7="","",E7*F7)</f>
        <v/>
      </c>
      <c r="J28">
        <f>IF(I7="","",I7*H7)</f>
        <v/>
      </c>
      <c r="K28">
        <f>IF(J7="","",J7/32)</f>
        <v/>
      </c>
      <c r="M28">
        <f>IF(K7="","",ROUNDUP(K7*(1+L7/100),0))</f>
        <v/>
      </c>
      <c r="N28">
        <f>IF(J7="","",ROUNDUP(J7/100*3,0))</f>
        <v/>
      </c>
    </row>
    <row r="29">
      <c r="A29" t="inlineStr">
        <is>
          <t>7:12</t>
        </is>
      </c>
      <c r="B29" t="n">
        <v>1.158</v>
      </c>
      <c r="I29">
        <f>IF(E8="","",E8*F8)</f>
        <v/>
      </c>
      <c r="J29">
        <f>IF(I8="","",I8*H8)</f>
        <v/>
      </c>
      <c r="K29" s="43" t="inlineStr">
        <is>
          <t>Roof Plan &amp; Pitch — Manual p. 18-20</t>
        </is>
      </c>
      <c r="M29">
        <f>IF(K8="","",ROUNDUP(K8*(1+L8/100),0))</f>
        <v/>
      </c>
      <c r="N29">
        <f>IF(J8="","",ROUNDUP(J8/100*3,0))</f>
        <v/>
      </c>
    </row>
    <row r="30">
      <c r="A30" t="inlineStr">
        <is>
          <t>8:12</t>
        </is>
      </c>
      <c r="B30" t="n">
        <v>1.202</v>
      </c>
      <c r="I30">
        <f>IF(E9="","",E9*F9)</f>
        <v/>
      </c>
      <c r="J30">
        <f>IF(I9="","",I9*H9)</f>
        <v/>
      </c>
      <c r="K30">
        <f>IF(J9="","",J9/32)</f>
        <v/>
      </c>
      <c r="M30">
        <f>IF(K9="","",ROUNDUP(K9*(1+L9/100),0))</f>
        <v/>
      </c>
      <c r="N30">
        <f>IF(J9="","",ROUNDUP(J9/100*3,0))</f>
        <v/>
      </c>
    </row>
    <row r="31">
      <c r="A31" t="inlineStr">
        <is>
          <t>9:12</t>
        </is>
      </c>
      <c r="B31" t="n">
        <v>1.25</v>
      </c>
      <c r="I31">
        <f>IF(E10="","",E10*F10)</f>
        <v/>
      </c>
      <c r="J31">
        <f>IF(I10="","",I10*H10)</f>
        <v/>
      </c>
      <c r="K31">
        <f>IF(J10="","",J10/32)</f>
        <v/>
      </c>
      <c r="M31">
        <f>IF(K10="","",ROUNDUP(K10*(1+L10/100),0))</f>
        <v/>
      </c>
      <c r="N31">
        <f>IF(J10="","",ROUNDUP(J10/100*3,0))</f>
        <v/>
      </c>
    </row>
    <row r="32">
      <c r="A32" t="inlineStr">
        <is>
          <t>10:12</t>
        </is>
      </c>
      <c r="B32" t="n">
        <v>1.302</v>
      </c>
      <c r="I32">
        <f>IF(E11="","",E11*F11)</f>
        <v/>
      </c>
      <c r="J32">
        <f>IF(I11="","",I11*H11)</f>
        <v/>
      </c>
      <c r="K32">
        <f>IF(J11="","",J11/32)</f>
        <v/>
      </c>
      <c r="M32">
        <f>IF(K11="","",ROUNDUP(K11*(1+L11/100),0))</f>
        <v/>
      </c>
      <c r="N32">
        <f>IF(J11="","",ROUNDUP(J11/100*3,0))</f>
        <v/>
      </c>
    </row>
    <row r="33">
      <c r="A33" t="inlineStr">
        <is>
          <t>12:12</t>
        </is>
      </c>
      <c r="B33" t="n">
        <v>1.414</v>
      </c>
      <c r="I33">
        <f>IF(E12="","",E12*F12)</f>
        <v/>
      </c>
      <c r="J33">
        <f>IF(I12="","",I12*H12)</f>
        <v/>
      </c>
      <c r="K33">
        <f>IF(J12="","",J12/32)</f>
        <v/>
      </c>
      <c r="M33">
        <f>IF(K12="","",ROUNDUP(K12*(1+L12/100),0))</f>
        <v/>
      </c>
      <c r="N33">
        <f>IF(J12="","",ROUNDUP(J12/100*3,0))</f>
        <v/>
      </c>
    </row>
    <row r="34">
      <c r="I34">
        <f>IF(E13="","",E13*F13)</f>
        <v/>
      </c>
      <c r="J34">
        <f>IF(I13="","",I13*H13)</f>
        <v/>
      </c>
      <c r="K34">
        <f>IF(J13="","",J13/32)</f>
        <v/>
      </c>
      <c r="M34">
        <f>IF(K13="","",ROUNDUP(K13*(1+L13/100),0))</f>
        <v/>
      </c>
      <c r="N34">
        <f>IF(J13="","",ROUNDUP(J13/100*3,0))</f>
        <v/>
      </c>
    </row>
    <row r="35">
      <c r="I35">
        <f>IF(E14="","",E14*F14)</f>
        <v/>
      </c>
      <c r="J35">
        <f>IF(I14="","",I14*H14)</f>
        <v/>
      </c>
      <c r="K35">
        <f>IF(J14="","",J14/32)</f>
        <v/>
      </c>
      <c r="M35">
        <f>IF(K14="","",ROUNDUP(K14*(1+L14/100),0))</f>
        <v/>
      </c>
      <c r="N35">
        <f>IF(J14="","",ROUNDUP(J14/100*3,0))</f>
        <v/>
      </c>
    </row>
    <row r="36"/>
    <row r="37">
      <c r="D37" s="3" t="inlineStr">
        <is>
          <t>TOTALS</t>
        </is>
      </c>
      <c r="J37" s="7">
        <f>SUM(J5:J15)</f>
        <v/>
      </c>
      <c r="K37" s="7">
        <f>SUM(K5:K15)</f>
        <v/>
      </c>
      <c r="M37" s="7">
        <f>SUM(M5:M15)</f>
        <v/>
      </c>
      <c r="N37" s="7">
        <f>SUM(N5:N15)</f>
        <v/>
      </c>
    </row>
    <row r="38"/>
    <row r="39">
      <c r="D39" s="8" t="inlineStr">
        <is>
          <t>NOTES:</t>
        </is>
      </c>
    </row>
    <row r="40">
      <c r="D40" t="inlineStr">
        <is>
          <t>• One 4x8 sheet = 32 square feet</t>
        </is>
      </c>
    </row>
    <row r="41">
      <c r="D41" t="inlineStr">
        <is>
          <t>• Typical waste factor: 10-15% for cuts and starter</t>
        </is>
      </c>
    </row>
    <row r="42">
      <c r="D42" t="inlineStr">
        <is>
          <t>• Shingles: 3 bundles = 1 square (100 SF)</t>
        </is>
      </c>
    </row>
    <row r="43">
      <c r="D43" t="inlineStr">
        <is>
          <t>• Hip and ridge cap: Add 10% to total bundles</t>
        </is>
      </c>
    </row>
  </sheetData>
  <mergeCells count="11">
    <mergeCell ref="H6:J6"/>
    <mergeCell ref="H5:J5"/>
    <mergeCell ref="A5:F5"/>
    <mergeCell ref="H4:J4"/>
    <mergeCell ref="A6:F6"/>
    <mergeCell ref="A4:F4"/>
    <mergeCell ref="H2:J2"/>
    <mergeCell ref="A3:F3"/>
    <mergeCell ref="H3:J3"/>
    <mergeCell ref="A1:K1"/>
    <mergeCell ref="A1:N1"/>
  </mergeCells>
  <pageMargins left="0.75" right="0.75" top="1" bottom="1" header="0.5" footer="0.5"/>
  <pageSetup orientation="landscape" paperSize="1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5" customHeight="1">
      <c r="A1" s="38" t="inlineStr">
        <is>
          <t>STEP 1 — FOUNDATION &amp; SLAB TAKEOFF</t>
        </is>
      </c>
    </row>
    <row r="2">
      <c r="A2" s="30" t="inlineStr">
        <is>
          <t>INSTRUCTIONS:</t>
        </is>
      </c>
      <c r="F2" s="35" t="inlineStr">
        <is>
          <t>💡 TIPS</t>
        </is>
      </c>
    </row>
    <row r="3">
      <c r="A3" s="31" t="inlineStr">
        <is>
          <t>1. Locate foundation/structural sheets in the plan set</t>
        </is>
      </c>
      <c r="F3" s="27" t="inlineStr">
        <is>
          <t>• Include porches and garage slabs</t>
        </is>
      </c>
    </row>
    <row r="4">
      <c r="A4" s="31" t="inlineStr">
        <is>
          <t>2. Trace the perimeter of the slab and any interior beams</t>
        </is>
      </c>
      <c r="F4" s="27" t="inlineStr">
        <is>
          <t>• Note any assumed beam sizes for review</t>
        </is>
      </c>
    </row>
    <row r="5">
      <c r="A5" s="31" t="inlineStr">
        <is>
          <t>3. Measure each segment and enter lengths in the table below</t>
        </is>
      </c>
      <c r="F5" s="27" t="inlineStr">
        <is>
          <t>• Remember to convert thickness to feet</t>
        </is>
      </c>
    </row>
    <row r="6">
      <c r="A6" s="31" t="inlineStr">
        <is>
          <t>4. Record slab thickness, beam sizes, and notes/assumptions</t>
        </is>
      </c>
      <c r="F6" s="36" t="inlineStr">
        <is>
          <t>📖 Manual: p. 8-10 — Foundation</t>
        </is>
      </c>
    </row>
    <row r="8">
      <c r="A8" s="38" t="inlineStr">
        <is>
          <t>STEP 1 — FOUNDATION &amp; SLAB TAKEOFF</t>
        </is>
      </c>
    </row>
    <row r="9">
      <c r="A9" s="30" t="inlineStr">
        <is>
          <t>INSTRUCTIONS:</t>
        </is>
      </c>
      <c r="F9" s="35" t="inlineStr">
        <is>
          <t>💡 TIPS</t>
        </is>
      </c>
    </row>
    <row r="10">
      <c r="A10" s="31" t="inlineStr">
        <is>
          <t>1. Locate foundation/structural sheets in the plan set</t>
        </is>
      </c>
      <c r="F10" s="27" t="inlineStr">
        <is>
          <t>• Include porches and garage slabs</t>
        </is>
      </c>
    </row>
    <row r="11">
      <c r="A11" s="31" t="inlineStr">
        <is>
          <t>2. Trace the perimeter of the slab and any interior beams</t>
        </is>
      </c>
      <c r="F11" s="27" t="inlineStr">
        <is>
          <t>• Note any assumed beam sizes for review</t>
        </is>
      </c>
    </row>
    <row r="12">
      <c r="A12" s="31" t="inlineStr">
        <is>
          <t>3. Measure each segment and enter lengths in the table below</t>
        </is>
      </c>
      <c r="F12" s="27" t="inlineStr">
        <is>
          <t>• Remember to convert thickness to feet</t>
        </is>
      </c>
    </row>
    <row r="13">
      <c r="A13" s="31" t="inlineStr">
        <is>
          <t>4. Record slab thickness, beam sizes, and notes/assumptions</t>
        </is>
      </c>
      <c r="F13" s="36" t="inlineStr">
        <is>
          <t>📖 Manual: p. 8-10 — Foundation</t>
        </is>
      </c>
    </row>
    <row r="14"/>
    <row r="15">
      <c r="A15" s="38" t="inlineStr">
        <is>
          <t>STEP 1 — FOUNDATION &amp; SLAB TAKEOFF</t>
        </is>
      </c>
    </row>
    <row r="16">
      <c r="A16" s="30" t="inlineStr">
        <is>
          <t>INSTRUCTIONS:</t>
        </is>
      </c>
      <c r="F16" s="35" t="inlineStr">
        <is>
          <t>💡 TIPS</t>
        </is>
      </c>
    </row>
    <row r="17">
      <c r="A17" s="31" t="inlineStr">
        <is>
          <t>1. Locate foundation/structural sheets in the plan set</t>
        </is>
      </c>
      <c r="F17" s="27" t="inlineStr">
        <is>
          <t>• Include porches and garage slabs</t>
        </is>
      </c>
    </row>
    <row r="18">
      <c r="A18" s="31" t="inlineStr">
        <is>
          <t>2. Trace the perimeter of the slab and any interior beams</t>
        </is>
      </c>
      <c r="F18" s="27" t="inlineStr">
        <is>
          <t>• Note any assumed beam sizes for review</t>
        </is>
      </c>
    </row>
    <row r="19">
      <c r="A19" s="31" t="inlineStr">
        <is>
          <t>3. Measure each segment and enter lengths in the table below</t>
        </is>
      </c>
      <c r="F19" s="27" t="inlineStr">
        <is>
          <t>• Remember to convert thickness to feet</t>
        </is>
      </c>
    </row>
    <row r="20">
      <c r="A20" s="31" t="inlineStr">
        <is>
          <t>4. Record slab thickness, beam sizes, and notes/assumptions</t>
        </is>
      </c>
      <c r="F20" s="36" t="inlineStr">
        <is>
          <t>📖 Manual: p. 8-10 — Foundation</t>
        </is>
      </c>
    </row>
    <row r="21"/>
    <row r="22">
      <c r="A22" s="5" t="inlineStr">
        <is>
          <t>FOUNDATION &amp; CONCRETE TAKEOFF</t>
        </is>
      </c>
    </row>
    <row r="23"/>
    <row r="24">
      <c r="A24" s="2" t="inlineStr">
        <is>
          <t>SLAB CALCULATIONS</t>
        </is>
      </c>
    </row>
    <row r="25">
      <c r="A25" s="10" t="inlineStr">
        <is>
          <t>Element</t>
        </is>
      </c>
      <c r="B25" s="10" t="inlineStr">
        <is>
          <t>Length (ft)</t>
        </is>
      </c>
      <c r="C25" s="10" t="inlineStr">
        <is>
          <t>Width (ft)</t>
        </is>
      </c>
      <c r="D25" s="10" t="inlineStr">
        <is>
          <t>Thickness (in)</t>
        </is>
      </c>
      <c r="E25" s="10" t="inlineStr">
        <is>
          <t>Cu Ft</t>
        </is>
      </c>
      <c r="F25" s="10" t="inlineStr">
        <is>
          <t>Cu Yd</t>
        </is>
      </c>
      <c r="G25" s="10" t="inlineStr">
        <is>
          <t>Notes</t>
        </is>
      </c>
    </row>
    <row r="26">
      <c r="E26">
        <f>IF(B5="","",B5*C5*(D5/12))</f>
        <v/>
      </c>
      <c r="F26">
        <f>IF(E5="","",E5/27)</f>
        <v/>
      </c>
    </row>
    <row r="27">
      <c r="E27">
        <f>IF(B6="","",B6*C6*(D6/12))</f>
        <v/>
      </c>
      <c r="F27">
        <f>IF(E6="","",E6/27)</f>
        <v/>
      </c>
    </row>
    <row r="28">
      <c r="E28">
        <f>IF(B7="","",B7*C7*(D7/12))</f>
        <v/>
      </c>
      <c r="F28">
        <f>IF(E7="","",E7/27)</f>
        <v/>
      </c>
      <c r="J28" s="43" t="inlineStr">
        <is>
          <t>Foundation Section — Manual p. 8-10</t>
        </is>
      </c>
    </row>
    <row r="29">
      <c r="E29">
        <f>IF(B8="","",B8*C8*(D8/12))</f>
        <v/>
      </c>
      <c r="F29">
        <f>IF(E8="","",E8/27)</f>
        <v/>
      </c>
    </row>
    <row r="30">
      <c r="E30">
        <f>IF(B9="","",B9*C9*(D9/12))</f>
        <v/>
      </c>
      <c r="F30">
        <f>IF(E9="","",E9/27)</f>
        <v/>
      </c>
    </row>
    <row r="31"/>
    <row r="32">
      <c r="A32" s="2" t="inlineStr">
        <is>
          <t>PERIMETER FOOTING</t>
        </is>
      </c>
    </row>
    <row r="33">
      <c r="A33" s="10" t="inlineStr">
        <is>
          <t>Location</t>
        </is>
      </c>
      <c r="B33" s="10" t="inlineStr">
        <is>
          <t>Length (ft)</t>
        </is>
      </c>
      <c r="C33" s="10" t="inlineStr">
        <is>
          <t>Width (in)</t>
        </is>
      </c>
      <c r="D33" s="10" t="inlineStr">
        <is>
          <t>Depth (in)</t>
        </is>
      </c>
      <c r="E33" s="10" t="inlineStr">
        <is>
          <t>Cu Ft</t>
        </is>
      </c>
      <c r="F33" s="10" t="inlineStr">
        <is>
          <t>Cu Yd</t>
        </is>
      </c>
      <c r="G33" s="10" t="inlineStr">
        <is>
          <t>Rebar LF</t>
        </is>
      </c>
    </row>
    <row r="34">
      <c r="E34">
        <f>IF(B13="","",B13*(C13/12)*(D13/12))</f>
        <v/>
      </c>
      <c r="F34">
        <f>IF(E13="","",E13/27)</f>
        <v/>
      </c>
      <c r="G34">
        <f>IF(B13="","",B13*2)</f>
        <v/>
      </c>
    </row>
    <row r="35">
      <c r="E35">
        <f>IF(B14="","",B14*(C14/12)*(D14/12))</f>
        <v/>
      </c>
      <c r="F35">
        <f>IF(E14="","",E14/27)</f>
        <v/>
      </c>
      <c r="G35">
        <f>IF(B14="","",B14*2)</f>
        <v/>
      </c>
    </row>
    <row r="36">
      <c r="E36">
        <f>IF(B15="","",B15*(C15/12)*(D15/12))</f>
        <v/>
      </c>
      <c r="F36">
        <f>IF(E15="","",E15/27)</f>
        <v/>
      </c>
      <c r="G36">
        <f>IF(B15="","",B15*2)</f>
        <v/>
      </c>
    </row>
    <row r="37">
      <c r="E37">
        <f>IF(B16="","",B16*(C16/12)*(D16/12))</f>
        <v/>
      </c>
      <c r="F37">
        <f>IF(E16="","",E16/27)</f>
        <v/>
      </c>
      <c r="G37">
        <f>IF(B16="","",B16*2)</f>
        <v/>
      </c>
    </row>
    <row r="38">
      <c r="E38">
        <f>IF(B17="","",B17*(C17/12)*(D17/12))</f>
        <v/>
      </c>
      <c r="F38">
        <f>IF(E17="","",E17/27)</f>
        <v/>
      </c>
      <c r="G38">
        <f>IF(B17="","",B17*2)</f>
        <v/>
      </c>
    </row>
    <row r="39"/>
    <row r="40">
      <c r="A40" s="3" t="inlineStr">
        <is>
          <t>TOTAL CONCRETE</t>
        </is>
      </c>
      <c r="F40" s="7">
        <f>SUM(F5:F9,F13:F18)</f>
        <v/>
      </c>
    </row>
    <row r="41">
      <c r="A41" s="3" t="inlineStr">
        <is>
          <t>TOTAL REBAR</t>
        </is>
      </c>
      <c r="G41" s="7">
        <f>SUM(G13:G18)</f>
        <v/>
      </c>
    </row>
    <row r="42"/>
    <row r="43">
      <c r="A43" s="8" t="inlineStr">
        <is>
          <t>CONVERSION FACTORS:</t>
        </is>
      </c>
    </row>
    <row r="44">
      <c r="A44" t="inlineStr">
        <is>
          <t>• 1 cubic yard = 27 cubic feet</t>
        </is>
      </c>
    </row>
    <row r="45">
      <c r="A45" t="inlineStr">
        <is>
          <t>• Add 5-10% waste for concrete</t>
        </is>
      </c>
    </row>
    <row r="46">
      <c r="A46" t="inlineStr">
        <is>
          <t>• Standard slab thickness: 4 inches</t>
        </is>
      </c>
    </row>
    <row r="47">
      <c r="A47" t="inlineStr">
        <is>
          <t>• Perimeter footing: typically 16" wide x 12" deep minimum</t>
        </is>
      </c>
    </row>
    <row r="48">
      <c r="A48" t="inlineStr">
        <is>
          <t>• Southeast Texas: All bottom plates must be treated lumber</t>
        </is>
      </c>
    </row>
  </sheetData>
  <mergeCells count="10">
    <mergeCell ref="A4:E4"/>
    <mergeCell ref="F6:H6"/>
    <mergeCell ref="F5:H5"/>
    <mergeCell ref="A5:E5"/>
    <mergeCell ref="F2:H2"/>
    <mergeCell ref="F4:H4"/>
    <mergeCell ref="F3:H3"/>
    <mergeCell ref="A1:H1"/>
    <mergeCell ref="A6:E6"/>
    <mergeCell ref="A3:E3"/>
  </mergeCells>
  <pageMargins left="0.75" right="0.75" top="1" bottom="1" header="0.5" footer="0.5"/>
  <pageSetup orientation="landscape" paperSize="1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5" customHeight="1">
      <c r="A1" s="39" t="inlineStr">
        <is>
          <t>STEP 4 — SIDING, SOFFIT, FASCIA &amp; EXTERIOR TRIM</t>
        </is>
      </c>
    </row>
    <row r="2">
      <c r="A2" s="30" t="inlineStr">
        <is>
          <t>INSTRUCTIONS:</t>
        </is>
      </c>
      <c r="G2" s="35" t="inlineStr">
        <is>
          <t>💡 TIPS</t>
        </is>
      </c>
    </row>
    <row r="3">
      <c r="A3" s="27" t="inlineStr">
        <is>
          <t>1. Use each elevation (Front, Rear, Left, Right)</t>
        </is>
      </c>
      <c r="G3" s="27" t="inlineStr">
        <is>
          <t>• Add 10% waste for siding</t>
        </is>
      </c>
    </row>
    <row r="4">
      <c r="A4" s="27" t="inlineStr">
        <is>
          <t>2. Measure wall width, height, and gable rise if applicable</t>
        </is>
      </c>
      <c r="G4" s="27" t="inlineStr">
        <is>
          <t>• Don't subtract small openings &lt; 10 SF</t>
        </is>
      </c>
    </row>
    <row r="5">
      <c r="A5" s="27" t="inlineStr">
        <is>
          <t>3. Subtract windows/doors based on siding type</t>
        </is>
      </c>
      <c r="G5" s="27" t="inlineStr">
        <is>
          <t>• Measure trim/fascia separately for each edge</t>
        </is>
      </c>
    </row>
    <row r="6">
      <c r="A6" s="27" t="inlineStr">
        <is>
          <t>4. Calculate linear feet for trim, fascia, soffit</t>
        </is>
      </c>
      <c r="G6" s="36" t="inlineStr">
        <is>
          <t>📖 Manual: p. 21-23 — Siding</t>
        </is>
      </c>
    </row>
    <row r="8">
      <c r="A8" s="39" t="inlineStr">
        <is>
          <t>STEP 4 — SIDING, SOFFIT, FASCIA &amp; EXTERIOR TRIM</t>
        </is>
      </c>
    </row>
    <row r="9">
      <c r="A9" s="30" t="inlineStr">
        <is>
          <t>INSTRUCTIONS:</t>
        </is>
      </c>
      <c r="G9" s="35" t="inlineStr">
        <is>
          <t>💡 TIPS</t>
        </is>
      </c>
    </row>
    <row r="10">
      <c r="A10" s="27" t="inlineStr">
        <is>
          <t>1. Use each elevation (Front, Rear, Left, Right)</t>
        </is>
      </c>
      <c r="G10" s="27" t="inlineStr">
        <is>
          <t>• Add 10% waste for siding</t>
        </is>
      </c>
    </row>
    <row r="11">
      <c r="A11" s="27" t="inlineStr">
        <is>
          <t>2. Measure wall width, height, and gable rise if applicable</t>
        </is>
      </c>
      <c r="G11" s="27" t="inlineStr">
        <is>
          <t>• Don't subtract small openings &lt; 10 SF</t>
        </is>
      </c>
    </row>
    <row r="12">
      <c r="A12" s="27" t="inlineStr">
        <is>
          <t>3. Subtract windows/doors based on siding type</t>
        </is>
      </c>
      <c r="G12" s="27" t="inlineStr">
        <is>
          <t>• Measure trim/fascia separately for each edge</t>
        </is>
      </c>
    </row>
    <row r="13">
      <c r="A13" s="27" t="inlineStr">
        <is>
          <t>4. Calculate linear feet for trim, fascia, soffit</t>
        </is>
      </c>
      <c r="G13" s="36" t="inlineStr">
        <is>
          <t>📖 Manual: p. 21-23 — Siding</t>
        </is>
      </c>
    </row>
    <row r="14"/>
    <row r="15">
      <c r="A15" s="39" t="inlineStr">
        <is>
          <t>STEP 4 — SIDING, SOFFIT, FASCIA &amp; EXTERIOR TRIM</t>
        </is>
      </c>
    </row>
    <row r="16">
      <c r="A16" s="30" t="inlineStr">
        <is>
          <t>INSTRUCTIONS:</t>
        </is>
      </c>
      <c r="G16" s="35" t="inlineStr">
        <is>
          <t>💡 TIPS</t>
        </is>
      </c>
    </row>
    <row r="17">
      <c r="A17" s="27" t="inlineStr">
        <is>
          <t>1. Use each elevation (Front, Rear, Left, Right)</t>
        </is>
      </c>
      <c r="G17" s="27" t="inlineStr">
        <is>
          <t>• Add 10% waste for siding</t>
        </is>
      </c>
    </row>
    <row r="18">
      <c r="A18" s="27" t="inlineStr">
        <is>
          <t>2. Measure wall width, height, and gable rise if applicable</t>
        </is>
      </c>
      <c r="G18" s="27" t="inlineStr">
        <is>
          <t>• Don't subtract small openings &lt; 10 SF</t>
        </is>
      </c>
    </row>
    <row r="19">
      <c r="A19" s="27" t="inlineStr">
        <is>
          <t>3. Subtract windows/doors based on siding type</t>
        </is>
      </c>
      <c r="G19" s="27" t="inlineStr">
        <is>
          <t>• Measure trim/fascia separately for each edge</t>
        </is>
      </c>
    </row>
    <row r="20">
      <c r="A20" s="27" t="inlineStr">
        <is>
          <t>4. Calculate linear feet for trim, fascia, soffit</t>
        </is>
      </c>
      <c r="G20" s="36" t="inlineStr">
        <is>
          <t>📖 Manual: p. 21-23 — Siding</t>
        </is>
      </c>
    </row>
    <row r="21"/>
    <row r="22">
      <c r="A22" s="5" t="inlineStr">
        <is>
          <t>SIDING &amp; EXTERIOR MATERIALS TAKEOFF</t>
        </is>
      </c>
    </row>
    <row r="23"/>
    <row r="24">
      <c r="A24" s="11" t="inlineStr">
        <is>
          <t>Elevation</t>
        </is>
      </c>
      <c r="B24" s="11" t="inlineStr">
        <is>
          <t>LF</t>
        </is>
      </c>
      <c r="C24" s="11" t="inlineStr">
        <is>
          <t>Plate Ht (ft)</t>
        </is>
      </c>
      <c r="D24" s="11" t="inlineStr">
        <is>
          <t>Gable Rise (ft)</t>
        </is>
      </c>
      <c r="E24" s="11" t="inlineStr">
        <is>
          <t>Wall Area</t>
        </is>
      </c>
      <c r="F24" s="11" t="inlineStr">
        <is>
          <t>Gable Area</t>
        </is>
      </c>
      <c r="G24" s="11" t="inlineStr">
        <is>
          <t>Gross SF</t>
        </is>
      </c>
      <c r="H24" s="11" t="inlineStr">
        <is>
          <t>Openings SF</t>
        </is>
      </c>
      <c r="I24" s="11" t="inlineStr">
        <is>
          <t>Net SF</t>
        </is>
      </c>
      <c r="J24" s="11" t="inlineStr">
        <is>
          <t>Waste %</t>
        </is>
      </c>
      <c r="K24" s="11" t="inlineStr">
        <is>
          <t>Order SF</t>
        </is>
      </c>
    </row>
    <row r="25">
      <c r="E25">
        <f>IF(B4="","",B4*C4)</f>
        <v/>
      </c>
      <c r="F25">
        <f>IF(D4="","",B4*D4/2)</f>
        <v/>
      </c>
      <c r="G25">
        <f>IF(E4="","",E4+F4)</f>
        <v/>
      </c>
      <c r="I25">
        <f>IF(G4="","",G4-H4)</f>
        <v/>
      </c>
      <c r="K25">
        <f>IF(I4="","",I4*(1+J4/100))</f>
        <v/>
      </c>
    </row>
    <row r="26">
      <c r="E26">
        <f>IF(B5="","",B5*C5)</f>
        <v/>
      </c>
      <c r="F26">
        <f>IF(D5="","",B5*D5/2)</f>
        <v/>
      </c>
      <c r="G26">
        <f>IF(E5="","",E5+F5)</f>
        <v/>
      </c>
      <c r="I26">
        <f>IF(G5="","",G5-H5)</f>
        <v/>
      </c>
      <c r="K26">
        <f>IF(I5="","",I5*(1+J5/100))</f>
        <v/>
      </c>
    </row>
    <row r="27">
      <c r="E27">
        <f>IF(B6="","",B6*C6)</f>
        <v/>
      </c>
      <c r="F27">
        <f>IF(D6="","",B6*D6/2)</f>
        <v/>
      </c>
      <c r="G27">
        <f>IF(E6="","",E6+F6)</f>
        <v/>
      </c>
      <c r="I27">
        <f>IF(G6="","",G6-H6)</f>
        <v/>
      </c>
      <c r="K27">
        <f>IF(I6="","",I6*(1+J6/100))</f>
        <v/>
      </c>
    </row>
    <row r="28">
      <c r="E28">
        <f>IF(B7="","",B7*C7)</f>
        <v/>
      </c>
      <c r="F28">
        <f>IF(D7="","",B7*D7/2)</f>
        <v/>
      </c>
      <c r="G28">
        <f>IF(E7="","",E7+F7)</f>
        <v/>
      </c>
      <c r="I28">
        <f>IF(G7="","",G7-H7)</f>
        <v/>
      </c>
      <c r="K28">
        <f>IF(I7="","",I7*(1+J7/100))</f>
        <v/>
      </c>
    </row>
    <row r="29">
      <c r="E29">
        <f>IF(B8="","",B8*C8)</f>
        <v/>
      </c>
      <c r="F29">
        <f>IF(D8="","",B8*D8/2)</f>
        <v/>
      </c>
      <c r="G29">
        <f>IF(E8="","",E8+F8)</f>
        <v/>
      </c>
      <c r="I29">
        <f>IF(G8="","",G8-H8)</f>
        <v/>
      </c>
      <c r="J29" s="43" t="inlineStr">
        <is>
          <t>Elevation Areas — Manual p. 21-23</t>
        </is>
      </c>
      <c r="K29">
        <f>IF(I8="","",I8*(1+J8/100))</f>
        <v/>
      </c>
    </row>
    <row r="30">
      <c r="E30">
        <f>IF(B9="","",B9*C9)</f>
        <v/>
      </c>
      <c r="F30">
        <f>IF(D9="","",B9*D9/2)</f>
        <v/>
      </c>
      <c r="G30">
        <f>IF(E9="","",E9+F9)</f>
        <v/>
      </c>
      <c r="I30">
        <f>IF(G9="","",G9-H9)</f>
        <v/>
      </c>
      <c r="K30">
        <f>IF(I9="","",I9*(1+J9/100))</f>
        <v/>
      </c>
    </row>
    <row r="31">
      <c r="E31">
        <f>IF(B10="","",B10*C10)</f>
        <v/>
      </c>
      <c r="F31">
        <f>IF(D10="","",B10*D10/2)</f>
        <v/>
      </c>
      <c r="G31">
        <f>IF(E10="","",E10+F10)</f>
        <v/>
      </c>
      <c r="I31">
        <f>IF(G10="","",G10-H10)</f>
        <v/>
      </c>
      <c r="K31">
        <f>IF(I10="","",I10*(1+J10/100))</f>
        <v/>
      </c>
    </row>
    <row r="32">
      <c r="E32">
        <f>IF(B11="","",B11*C11)</f>
        <v/>
      </c>
      <c r="F32">
        <f>IF(D11="","",B11*D11/2)</f>
        <v/>
      </c>
      <c r="G32">
        <f>IF(E11="","",E11+F11)</f>
        <v/>
      </c>
      <c r="I32">
        <f>IF(G11="","",G11-H11)</f>
        <v/>
      </c>
      <c r="K32">
        <f>IF(I11="","",I11*(1+J11/100))</f>
        <v/>
      </c>
    </row>
    <row r="33">
      <c r="E33">
        <f>IF(B12="","",B12*C12)</f>
        <v/>
      </c>
      <c r="F33">
        <f>IF(D12="","",B12*D12/2)</f>
        <v/>
      </c>
      <c r="G33">
        <f>IF(E12="","",E12+F12)</f>
        <v/>
      </c>
      <c r="I33">
        <f>IF(G12="","",G12-H12)</f>
        <v/>
      </c>
      <c r="K33">
        <f>IF(I12="","",I12*(1+J12/100))</f>
        <v/>
      </c>
    </row>
    <row r="34">
      <c r="E34">
        <f>IF(B13="","",B13*C13)</f>
        <v/>
      </c>
      <c r="F34">
        <f>IF(D13="","",B13*D13/2)</f>
        <v/>
      </c>
      <c r="G34">
        <f>IF(E13="","",E13+F13)</f>
        <v/>
      </c>
      <c r="I34">
        <f>IF(G13="","",G13-H13)</f>
        <v/>
      </c>
      <c r="K34">
        <f>IF(I13="","",I13*(1+J13/100))</f>
        <v/>
      </c>
    </row>
    <row r="35"/>
    <row r="36">
      <c r="A36" s="3" t="inlineStr">
        <is>
          <t>TOTALS</t>
        </is>
      </c>
      <c r="G36" s="7">
        <f>SUM(G4:G14)</f>
        <v/>
      </c>
      <c r="H36" s="7">
        <f>SUM(H4:H14)</f>
        <v/>
      </c>
      <c r="I36" s="7">
        <f>SUM(I4:I14)</f>
        <v/>
      </c>
      <c r="K36" s="7">
        <f>SUM(K4:K14)</f>
        <v/>
      </c>
    </row>
    <row r="37"/>
    <row r="38">
      <c r="A38" s="3" t="inlineStr">
        <is>
          <t>TOTAL SQUARES (÷100)</t>
        </is>
      </c>
      <c r="K38" s="12">
        <f>K15/100</f>
        <v/>
      </c>
    </row>
    <row r="39"/>
    <row r="40">
      <c r="A40" s="2" t="inlineStr">
        <is>
          <t>TRIM &amp; ACCESSORIES</t>
        </is>
      </c>
    </row>
    <row r="41">
      <c r="A41" s="3" t="inlineStr">
        <is>
          <t>Corner Trim:</t>
        </is>
      </c>
    </row>
    <row r="42">
      <c r="A42" s="3" t="inlineStr">
        <is>
          <t>J-Channel:</t>
        </is>
      </c>
    </row>
    <row r="43">
      <c r="A43" s="3" t="inlineStr">
        <is>
          <t>Fascia:</t>
        </is>
      </c>
    </row>
    <row r="44">
      <c r="A44" s="3" t="inlineStr">
        <is>
          <t>Soffit:</t>
        </is>
      </c>
    </row>
    <row r="45">
      <c r="A45" s="3" t="inlineStr">
        <is>
          <t>Frieze Board:</t>
        </is>
      </c>
    </row>
    <row r="46"/>
    <row r="47">
      <c r="A47" s="8" t="inlineStr">
        <is>
          <t>NOTES:</t>
        </is>
      </c>
    </row>
    <row r="48">
      <c r="A48" t="inlineStr">
        <is>
          <t>• Typical waste: 10% for vinyl siding, 15% for lap siding</t>
        </is>
      </c>
    </row>
    <row r="49">
      <c r="A49" t="inlineStr">
        <is>
          <t>• Deduct 50% for windows, 100% for doors (or calculate exact)</t>
        </is>
      </c>
    </row>
    <row r="50">
      <c r="A50" t="inlineStr">
        <is>
          <t>• Southeast Texas: Consider hurricane-rated fasteners</t>
        </is>
      </c>
    </row>
    <row r="51">
      <c r="A51" t="inlineStr">
        <is>
          <t>• Order J-channel for all openings and transitions</t>
        </is>
      </c>
    </row>
  </sheetData>
  <mergeCells count="10">
    <mergeCell ref="G2:I2"/>
    <mergeCell ref="A4:E4"/>
    <mergeCell ref="G6:I6"/>
    <mergeCell ref="G5:I5"/>
    <mergeCell ref="A5:E5"/>
    <mergeCell ref="G4:I4"/>
    <mergeCell ref="G3:I3"/>
    <mergeCell ref="A6:E6"/>
    <mergeCell ref="A1:K1"/>
    <mergeCell ref="A3:E3"/>
  </mergeCells>
  <pageMargins left="0.75" right="0.75" top="1" bottom="1" header="0.5" footer="0.5"/>
  <pageSetup orientation="landscape" paperSize="1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5" customHeight="1">
      <c r="A1" s="40" t="inlineStr">
        <is>
          <t>STEP 5 — WINDOWS &amp; DOORS TAKEOFF</t>
        </is>
      </c>
    </row>
    <row r="2">
      <c r="A2" s="30" t="inlineStr">
        <is>
          <t>INSTRUCTIONS:</t>
        </is>
      </c>
      <c r="F2" s="35" t="inlineStr">
        <is>
          <t>💡 TIPS</t>
        </is>
      </c>
    </row>
    <row r="3">
      <c r="A3" s="27" t="inlineStr">
        <is>
          <t>1. Use the window/door schedule FIRST—don't scale from plans</t>
        </is>
      </c>
      <c r="F3" s="27" t="inlineStr">
        <is>
          <t>• Always use the schedule, not floor plan dimensions</t>
        </is>
      </c>
    </row>
    <row r="4">
      <c r="A4" s="27" t="inlineStr">
        <is>
          <t>2. Record each unit: ID, size, type, quantity</t>
        </is>
      </c>
      <c r="F4" s="27" t="inlineStr">
        <is>
          <t>• Check for conflicting tags on elevations</t>
        </is>
      </c>
    </row>
    <row r="5">
      <c r="A5" s="27" t="inlineStr">
        <is>
          <t>3. Note special requirements: tempered, impact-rated, shapes</t>
        </is>
      </c>
      <c r="F5" s="27" t="inlineStr">
        <is>
          <t>• Note special glass requirements</t>
        </is>
      </c>
    </row>
    <row r="6">
      <c r="A6" s="27" t="inlineStr">
        <is>
          <t>4. Verify counts by cross-checking schedule vs elevations</t>
        </is>
      </c>
      <c r="F6" s="36" t="inlineStr">
        <is>
          <t>📖 Manual: p. 24-25 — Schedules</t>
        </is>
      </c>
    </row>
    <row r="8">
      <c r="A8" s="40" t="inlineStr">
        <is>
          <t>STEP 5 — WINDOWS &amp; DOORS TAKEOFF</t>
        </is>
      </c>
    </row>
    <row r="9">
      <c r="A9" s="30" t="inlineStr">
        <is>
          <t>INSTRUCTIONS:</t>
        </is>
      </c>
      <c r="F9" s="35" t="inlineStr">
        <is>
          <t>💡 TIPS</t>
        </is>
      </c>
    </row>
    <row r="10">
      <c r="A10" s="27" t="inlineStr">
        <is>
          <t>1. Use the window/door schedule FIRST—don't scale from plans</t>
        </is>
      </c>
      <c r="F10" s="27" t="inlineStr">
        <is>
          <t>• Always use the schedule, not floor plan dimensions</t>
        </is>
      </c>
    </row>
    <row r="11">
      <c r="A11" s="27" t="inlineStr">
        <is>
          <t>2. Record each unit: ID, size, type, quantity</t>
        </is>
      </c>
      <c r="F11" s="27" t="inlineStr">
        <is>
          <t>• Check for conflicting tags on elevations</t>
        </is>
      </c>
    </row>
    <row r="12">
      <c r="A12" s="27" t="inlineStr">
        <is>
          <t>3. Note special requirements: tempered, impact-rated, shapes</t>
        </is>
      </c>
      <c r="F12" s="27" t="inlineStr">
        <is>
          <t>• Note special glass requirements</t>
        </is>
      </c>
    </row>
    <row r="13">
      <c r="A13" s="27" t="inlineStr">
        <is>
          <t>4. Verify counts by cross-checking schedule vs elevations</t>
        </is>
      </c>
      <c r="F13" s="36" t="inlineStr">
        <is>
          <t>📖 Manual: p. 24-25 — Schedules</t>
        </is>
      </c>
    </row>
    <row r="14"/>
    <row r="15">
      <c r="A15" s="40" t="inlineStr">
        <is>
          <t>STEP 5 — WINDOWS &amp; DOORS TAKEOFF</t>
        </is>
      </c>
    </row>
    <row r="16">
      <c r="A16" s="30" t="inlineStr">
        <is>
          <t>INSTRUCTIONS:</t>
        </is>
      </c>
      <c r="F16" s="35" t="inlineStr">
        <is>
          <t>💡 TIPS</t>
        </is>
      </c>
    </row>
    <row r="17">
      <c r="A17" s="27" t="inlineStr">
        <is>
          <t>1. Use the window/door schedule FIRST—don't scale from plans</t>
        </is>
      </c>
      <c r="F17" s="27" t="inlineStr">
        <is>
          <t>• Always use the schedule, not floor plan dimensions</t>
        </is>
      </c>
    </row>
    <row r="18">
      <c r="A18" s="27" t="inlineStr">
        <is>
          <t>2. Record each unit: ID, size, type, quantity</t>
        </is>
      </c>
      <c r="F18" s="27" t="inlineStr">
        <is>
          <t>• Check for conflicting tags on elevations</t>
        </is>
      </c>
    </row>
    <row r="19">
      <c r="A19" s="27" t="inlineStr">
        <is>
          <t>3. Note special requirements: tempered, impact-rated, shapes</t>
        </is>
      </c>
      <c r="F19" s="27" t="inlineStr">
        <is>
          <t>• Note special glass requirements</t>
        </is>
      </c>
    </row>
    <row r="20">
      <c r="A20" s="27" t="inlineStr">
        <is>
          <t>4. Verify counts by cross-checking schedule vs elevations</t>
        </is>
      </c>
      <c r="F20" s="36" t="inlineStr">
        <is>
          <t>📖 Manual: p. 24-25 — Schedules</t>
        </is>
      </c>
    </row>
    <row r="21"/>
    <row r="22">
      <c r="A22" s="5" t="inlineStr">
        <is>
          <t>WINDOW &amp; DOOR SCHEDULE</t>
        </is>
      </c>
    </row>
    <row r="23"/>
    <row r="24">
      <c r="A24" s="2" t="inlineStr">
        <is>
          <t>WINDOWS</t>
        </is>
      </c>
    </row>
    <row r="25">
      <c r="A25" s="13" t="inlineStr">
        <is>
          <t>Tag</t>
        </is>
      </c>
      <c r="B25" s="13" t="inlineStr">
        <is>
          <t>Qty</t>
        </is>
      </c>
      <c r="C25" s="13" t="inlineStr">
        <is>
          <t>Size (WxH)</t>
        </is>
      </c>
      <c r="D25" s="13" t="inlineStr">
        <is>
          <t>Rough Opening</t>
        </is>
      </c>
      <c r="E25" s="13" t="inlineStr">
        <is>
          <t>Header Size</t>
        </is>
      </c>
      <c r="F25" s="13" t="inlineStr">
        <is>
          <t>Type/Material</t>
        </is>
      </c>
      <c r="G25" s="13" t="inlineStr">
        <is>
          <t>Remarks</t>
        </is>
      </c>
      <c r="H25" s="13" t="inlineStr">
        <is>
          <t>Unit Price</t>
        </is>
      </c>
    </row>
    <row r="26">
      <c r="H26" s="14" t="n"/>
    </row>
    <row r="27">
      <c r="H27" s="14" t="n"/>
      <c r="I27" s="43" t="inlineStr">
        <is>
          <t>Schedule Example — Manual p. 24-25</t>
        </is>
      </c>
    </row>
    <row r="28">
      <c r="H28" s="14" t="n"/>
    </row>
    <row r="29">
      <c r="H29" s="14" t="n"/>
    </row>
    <row r="30">
      <c r="H30" s="14" t="n"/>
    </row>
    <row r="31">
      <c r="H31" s="14" t="n"/>
    </row>
    <row r="32">
      <c r="H32" s="14" t="n"/>
    </row>
    <row r="33">
      <c r="H33" s="14" t="n"/>
    </row>
    <row r="34">
      <c r="H34" s="14" t="n"/>
    </row>
    <row r="35">
      <c r="H35" s="14" t="n"/>
    </row>
    <row r="36">
      <c r="H36" s="14" t="n"/>
    </row>
    <row r="37">
      <c r="H37" s="14" t="n"/>
    </row>
    <row r="38">
      <c r="H38" s="14" t="n"/>
    </row>
    <row r="39">
      <c r="H39" s="14" t="n"/>
    </row>
    <row r="40">
      <c r="H40" s="14" t="n"/>
    </row>
    <row r="41"/>
    <row r="42">
      <c r="A42" s="2" t="inlineStr">
        <is>
          <t>DOORS</t>
        </is>
      </c>
    </row>
    <row r="43">
      <c r="A43" s="15" t="inlineStr">
        <is>
          <t>Tag</t>
        </is>
      </c>
      <c r="B43" s="15" t="inlineStr">
        <is>
          <t>Qty</t>
        </is>
      </c>
      <c r="C43" s="15" t="inlineStr">
        <is>
          <t>Size (WxH)</t>
        </is>
      </c>
      <c r="D43" s="15" t="inlineStr">
        <is>
          <t>Rough Opening</t>
        </is>
      </c>
      <c r="E43" s="15" t="inlineStr">
        <is>
          <t>Header Size</t>
        </is>
      </c>
      <c r="F43" s="15" t="inlineStr">
        <is>
          <t>Type/Material</t>
        </is>
      </c>
      <c r="G43" s="15" t="inlineStr">
        <is>
          <t>Remarks</t>
        </is>
      </c>
      <c r="H43" s="15" t="inlineStr">
        <is>
          <t>Unit Price</t>
        </is>
      </c>
    </row>
    <row r="44">
      <c r="H44" s="14" t="n"/>
    </row>
    <row r="45">
      <c r="H45" s="14" t="n"/>
    </row>
    <row r="46">
      <c r="H46" s="14" t="n"/>
    </row>
    <row r="47">
      <c r="H47" s="14" t="n"/>
    </row>
    <row r="48">
      <c r="H48" s="14" t="n"/>
    </row>
    <row r="49">
      <c r="H49" s="14" t="n"/>
    </row>
    <row r="50">
      <c r="H50" s="14" t="n"/>
    </row>
    <row r="51">
      <c r="H51" s="14" t="n"/>
    </row>
    <row r="52">
      <c r="H52" s="14" t="n"/>
    </row>
    <row r="53">
      <c r="H53" s="14" t="n"/>
    </row>
    <row r="54">
      <c r="H54" s="14" t="n"/>
    </row>
    <row r="55">
      <c r="H55" s="14" t="n"/>
    </row>
    <row r="56">
      <c r="H56" s="14" t="n"/>
    </row>
    <row r="57">
      <c r="H57" s="14" t="n"/>
    </row>
    <row r="58">
      <c r="H58" s="14" t="n"/>
    </row>
    <row r="59"/>
    <row r="60">
      <c r="A60" s="3" t="inlineStr">
        <is>
          <t>TOTALS</t>
        </is>
      </c>
      <c r="G60" t="inlineStr">
        <is>
          <t>Window Count:</t>
        </is>
      </c>
      <c r="H60">
        <f>SUM(B5:B19)</f>
        <v/>
      </c>
    </row>
    <row r="61">
      <c r="G61" t="inlineStr">
        <is>
          <t>Door Count:</t>
        </is>
      </c>
      <c r="H61">
        <f>SUM(B23:B37)</f>
        <v/>
      </c>
    </row>
  </sheetData>
  <mergeCells count="10">
    <mergeCell ref="A4:E4"/>
    <mergeCell ref="F6:H6"/>
    <mergeCell ref="F5:H5"/>
    <mergeCell ref="A5:E5"/>
    <mergeCell ref="F2:H2"/>
    <mergeCell ref="F4:H4"/>
    <mergeCell ref="F3:H3"/>
    <mergeCell ref="A1:H1"/>
    <mergeCell ref="A6:E6"/>
    <mergeCell ref="A3:E3"/>
  </mergeCells>
  <pageMargins left="0.75" right="0.75" top="1" bottom="1" header="0.5" footer="0.5"/>
  <pageSetup orientation="landscape" paperSize="1" fitToHeight="0" fitToWidth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12" customWidth="1" min="4" max="4"/>
    <col width="15" customWidth="1" min="5" max="5"/>
    <col width="25" customWidth="1" min="6" max="6"/>
  </cols>
  <sheetData>
    <row r="1" ht="25" customHeight="1">
      <c r="A1" s="41" t="inlineStr">
        <is>
          <t>STEP 6 — FINAL MATERIAL SUMMARY (READY TO QUOTE)</t>
        </is>
      </c>
    </row>
    <row r="2">
      <c r="A2" s="30" t="inlineStr">
        <is>
          <t>COMPLETION CHECKLIST:</t>
        </is>
      </c>
    </row>
    <row r="3">
      <c r="A3" s="32" t="inlineStr">
        <is>
          <t>☐ Foundation sheet completed</t>
        </is>
      </c>
    </row>
    <row r="4">
      <c r="A4" s="32" t="inlineStr">
        <is>
          <t>☐ Wall framing sheet completed</t>
        </is>
      </c>
    </row>
    <row r="5">
      <c r="A5" s="32" t="inlineStr">
        <is>
          <t>☐ Roof sheet completed</t>
        </is>
      </c>
    </row>
    <row r="6">
      <c r="A6" s="32" t="inlineStr">
        <is>
          <t>☐ Siding &amp; exterior sheet completed</t>
        </is>
      </c>
    </row>
    <row r="7">
      <c r="A7" s="32" t="inlineStr">
        <is>
          <t>☐ Windows &amp; doors sheet completed</t>
        </is>
      </c>
    </row>
    <row r="8">
      <c r="A8" s="32" t="inlineStr">
        <is>
          <t>☐ All assumptions noted for customer/engineer review</t>
        </is>
      </c>
    </row>
    <row r="9">
      <c r="A9" s="42" t="inlineStr">
        <is>
          <t>✅ When complete, this summary is ready to key into the quoting system</t>
        </is>
      </c>
    </row>
    <row r="10">
      <c r="A10" s="36" t="inlineStr">
        <is>
          <t>📖 See Manual: p. 26-27 — Complete Example &amp; Final Checks</t>
        </is>
      </c>
    </row>
    <row r="12">
      <c r="A12" s="41" t="inlineStr">
        <is>
          <t>STEP 6 — FINAL MATERIAL SUMMARY (READY TO QUOTE)</t>
        </is>
      </c>
    </row>
    <row r="13">
      <c r="A13" s="30" t="inlineStr">
        <is>
          <t>COMPLETION CHECKLIST:</t>
        </is>
      </c>
    </row>
    <row r="14">
      <c r="A14" s="32" t="inlineStr">
        <is>
          <t>☐ Foundation sheet completed</t>
        </is>
      </c>
    </row>
    <row r="15">
      <c r="A15" s="32" t="inlineStr">
        <is>
          <t>☐ Wall framing sheet completed</t>
        </is>
      </c>
    </row>
    <row r="16">
      <c r="A16" s="32" t="inlineStr">
        <is>
          <t>☐ Roof sheet completed</t>
        </is>
      </c>
    </row>
    <row r="17">
      <c r="A17" s="32" t="inlineStr">
        <is>
          <t>☐ Siding &amp; exterior sheet completed</t>
        </is>
      </c>
    </row>
    <row r="18">
      <c r="A18" s="32" t="inlineStr">
        <is>
          <t>☐ Windows &amp; doors sheet completed</t>
        </is>
      </c>
    </row>
    <row r="19">
      <c r="A19" s="32" t="inlineStr">
        <is>
          <t>☐ All assumptions noted for customer/engineer review</t>
        </is>
      </c>
    </row>
    <row r="20">
      <c r="A20" s="42" t="inlineStr">
        <is>
          <t>✅ When complete, this summary is ready to key into the quoting system</t>
        </is>
      </c>
    </row>
    <row r="21">
      <c r="A21" s="36" t="inlineStr">
        <is>
          <t>📖 See Manual: p. 26-27 — Complete Example &amp; Final Checks</t>
        </is>
      </c>
    </row>
    <row r="22"/>
    <row r="23">
      <c r="A23" s="41" t="inlineStr">
        <is>
          <t>STEP 6 — FINAL MATERIAL SUMMARY (READY TO QUOTE)</t>
        </is>
      </c>
    </row>
    <row r="24">
      <c r="A24" s="30" t="inlineStr">
        <is>
          <t>COMPLETION CHECKLIST:</t>
        </is>
      </c>
    </row>
    <row r="25">
      <c r="A25" s="32" t="inlineStr">
        <is>
          <t>☐ Foundation sheet completed</t>
        </is>
      </c>
    </row>
    <row r="26">
      <c r="A26" s="32" t="inlineStr">
        <is>
          <t>☐ Wall framing sheet completed</t>
        </is>
      </c>
    </row>
    <row r="27">
      <c r="A27" s="32" t="inlineStr">
        <is>
          <t>☐ Roof sheet completed</t>
        </is>
      </c>
    </row>
    <row r="28">
      <c r="A28" s="32" t="inlineStr">
        <is>
          <t>☐ Siding &amp; exterior sheet completed</t>
        </is>
      </c>
    </row>
    <row r="29">
      <c r="A29" s="32" t="inlineStr">
        <is>
          <t>☐ Windows &amp; doors sheet completed</t>
        </is>
      </c>
    </row>
    <row r="30">
      <c r="A30" s="32" t="inlineStr">
        <is>
          <t>☐ All assumptions noted for customer/engineer review</t>
        </is>
      </c>
    </row>
    <row r="31">
      <c r="A31" s="42" t="inlineStr">
        <is>
          <t>✅ When complete, this summary is ready to key into the quoting system</t>
        </is>
      </c>
    </row>
    <row r="32">
      <c r="A32" s="36" t="inlineStr">
        <is>
          <t>📖 See Manual: p. 26-27 — Complete Example &amp; Final Checks</t>
        </is>
      </c>
    </row>
    <row r="33"/>
    <row r="34">
      <c r="A34" s="16" t="inlineStr">
        <is>
          <t>MATERIAL SUMMARY - READY TO QUOTE</t>
        </is>
      </c>
    </row>
    <row r="35"/>
    <row r="36">
      <c r="A36" t="inlineStr">
        <is>
          <t>Project:</t>
        </is>
      </c>
      <c r="B36">
        <f>'Project Info'!B4</f>
        <v/>
      </c>
    </row>
    <row r="37">
      <c r="A37" t="inlineStr">
        <is>
          <t>Job Number:</t>
        </is>
      </c>
      <c r="B37">
        <f>'Project Info'!B5</f>
        <v/>
      </c>
    </row>
    <row r="38"/>
    <row r="39">
      <c r="A39" s="17" t="inlineStr">
        <is>
          <t>FRAMING LUMBER</t>
        </is>
      </c>
    </row>
    <row r="40">
      <c r="A40" s="18" t="inlineStr">
        <is>
          <t>Description</t>
        </is>
      </c>
      <c r="B40" s="18" t="inlineStr">
        <is>
          <t>Unit</t>
        </is>
      </c>
      <c r="C40" s="18" t="inlineStr">
        <is>
          <t>Quantity</t>
        </is>
      </c>
      <c r="D40" s="18" t="inlineStr">
        <is>
          <t>Unit Price</t>
        </is>
      </c>
      <c r="E40" s="18" t="inlineStr">
        <is>
          <t>Extended</t>
        </is>
      </c>
      <c r="F40" s="18" t="inlineStr">
        <is>
          <t>Notes</t>
        </is>
      </c>
    </row>
    <row r="41">
      <c r="A41" t="inlineStr">
        <is>
          <t>2x4x8 Studs</t>
        </is>
      </c>
    </row>
    <row r="42">
      <c r="A42" t="inlineStr">
        <is>
          <t>2x6x8 Studs</t>
        </is>
      </c>
      <c r="B42" t="inlineStr">
        <is>
          <t>EA</t>
        </is>
      </c>
      <c r="C42" s="4" t="n"/>
      <c r="D42" s="14" t="n"/>
      <c r="E42" s="14">
        <f>C9*D9</f>
        <v/>
      </c>
    </row>
    <row r="43">
      <c r="A43" t="inlineStr">
        <is>
          <t>2x4 Plates (Treated)</t>
        </is>
      </c>
      <c r="B43" t="inlineStr">
        <is>
          <t>LF</t>
        </is>
      </c>
      <c r="C43" s="4" t="n"/>
      <c r="D43" s="14" t="n"/>
      <c r="E43" s="14">
        <f>C10*D10</f>
        <v/>
      </c>
    </row>
    <row r="44">
      <c r="A44" t="inlineStr">
        <is>
          <t>2x6 Plates (Treated)</t>
        </is>
      </c>
      <c r="B44" t="inlineStr">
        <is>
          <t>LF</t>
        </is>
      </c>
      <c r="C44" s="4" t="n"/>
      <c r="D44" s="14" t="n"/>
      <c r="E44" s="14">
        <f>C11*D11</f>
        <v/>
      </c>
    </row>
    <row r="45">
      <c r="A45" t="inlineStr">
        <is>
          <t>2x4 Top Plates</t>
        </is>
      </c>
      <c r="B45" t="inlineStr">
        <is>
          <t>LF</t>
        </is>
      </c>
      <c r="C45" s="4" t="n"/>
      <c r="D45" s="14" t="n"/>
      <c r="E45" s="14">
        <f>C12*D12</f>
        <v/>
      </c>
    </row>
    <row r="46">
      <c r="A46" t="inlineStr">
        <is>
          <t>2x6 Top Plates</t>
        </is>
      </c>
      <c r="B46" t="inlineStr">
        <is>
          <t>LF</t>
        </is>
      </c>
      <c r="C46" s="4" t="n"/>
      <c r="D46" s="14" t="n"/>
      <c r="E46" s="14">
        <f>C13*D13</f>
        <v/>
      </c>
    </row>
    <row r="47">
      <c r="A47" t="inlineStr">
        <is>
          <t>2x6 Headers</t>
        </is>
      </c>
    </row>
    <row r="48">
      <c r="A48" t="inlineStr">
        <is>
          <t>2x8 Headers</t>
        </is>
      </c>
      <c r="B48" t="inlineStr">
        <is>
          <t>LF</t>
        </is>
      </c>
      <c r="C48" s="4" t="n"/>
      <c r="D48" s="14" t="n"/>
      <c r="E48" s="14">
        <f>C15*D15</f>
        <v/>
      </c>
    </row>
    <row r="49">
      <c r="A49" t="inlineStr">
        <is>
          <t>2x10 Headers</t>
        </is>
      </c>
      <c r="B49" t="inlineStr">
        <is>
          <t>LF</t>
        </is>
      </c>
      <c r="C49" s="4" t="n"/>
      <c r="D49" s="14" t="n"/>
      <c r="E49" s="14">
        <f>C16*D16</f>
        <v/>
      </c>
    </row>
    <row r="50">
      <c r="A50" t="inlineStr">
        <is>
          <t>2x12 Headers</t>
        </is>
      </c>
    </row>
    <row r="51"/>
    <row r="52">
      <c r="A52" s="17" t="inlineStr">
        <is>
          <t>ROOF MATERIALS</t>
        </is>
      </c>
    </row>
    <row r="53">
      <c r="A53" s="18" t="inlineStr">
        <is>
          <t>Description</t>
        </is>
      </c>
      <c r="B53" s="18" t="inlineStr">
        <is>
          <t>Unit</t>
        </is>
      </c>
      <c r="C53" s="18" t="inlineStr">
        <is>
          <t>Quantity</t>
        </is>
      </c>
      <c r="D53" s="18" t="inlineStr">
        <is>
          <t>Unit Price</t>
        </is>
      </c>
      <c r="E53" s="18" t="inlineStr">
        <is>
          <t>Extended</t>
        </is>
      </c>
      <c r="F53" s="18" t="inlineStr">
        <is>
          <t>Notes</t>
        </is>
      </c>
    </row>
    <row r="54">
      <c r="A54" t="inlineStr">
        <is>
          <t>7/16" OSB Sheathing</t>
        </is>
      </c>
      <c r="B54" t="inlineStr">
        <is>
          <t>Sheets</t>
        </is>
      </c>
      <c r="C54" s="4" t="n"/>
      <c r="D54" s="14" t="n"/>
      <c r="E54" s="14">
        <f>C21*D21</f>
        <v/>
      </c>
    </row>
    <row r="55">
      <c r="A55" t="inlineStr">
        <is>
          <t>Shingles (Architectural)</t>
        </is>
      </c>
      <c r="B55" t="inlineStr">
        <is>
          <t>Bundles</t>
        </is>
      </c>
      <c r="C55" s="4" t="n"/>
      <c r="D55" s="14" t="n"/>
      <c r="E55" s="14">
        <f>C22*D22</f>
        <v/>
      </c>
    </row>
    <row r="56">
      <c r="A56" t="inlineStr">
        <is>
          <t>Hip &amp; Ridge Cap</t>
        </is>
      </c>
      <c r="B56" t="inlineStr">
        <is>
          <t>Bundles</t>
        </is>
      </c>
      <c r="C56" s="4" t="n"/>
      <c r="D56" s="14" t="n"/>
      <c r="E56" s="14">
        <f>C23*D23</f>
        <v/>
      </c>
    </row>
    <row r="57">
      <c r="A57" t="inlineStr">
        <is>
          <t>Starter Strip</t>
        </is>
      </c>
      <c r="B57" t="inlineStr">
        <is>
          <t>LF</t>
        </is>
      </c>
      <c r="C57" s="4" t="n"/>
      <c r="D57" s="14" t="n"/>
      <c r="E57" s="14">
        <f>C24*D24</f>
        <v/>
      </c>
    </row>
    <row r="58">
      <c r="A58" t="inlineStr">
        <is>
          <t>Drip Edge</t>
        </is>
      </c>
    </row>
    <row r="59">
      <c r="A59" t="inlineStr">
        <is>
          <t>Felt/Underlayment</t>
        </is>
      </c>
      <c r="B59" t="inlineStr">
        <is>
          <t>Rolls</t>
        </is>
      </c>
      <c r="C59" s="4" t="n"/>
      <c r="D59" s="14" t="n"/>
      <c r="E59" s="14">
        <f>C26*D26</f>
        <v/>
      </c>
    </row>
    <row r="60"/>
    <row r="61">
      <c r="A61" s="17" t="inlineStr">
        <is>
          <t>FOUNDATION</t>
        </is>
      </c>
    </row>
    <row r="62">
      <c r="A62" s="18" t="inlineStr">
        <is>
          <t>Description</t>
        </is>
      </c>
      <c r="B62" s="18" t="inlineStr">
        <is>
          <t>Unit</t>
        </is>
      </c>
      <c r="C62" s="18" t="inlineStr">
        <is>
          <t>Quantity</t>
        </is>
      </c>
      <c r="D62" s="18" t="inlineStr">
        <is>
          <t>Unit Price</t>
        </is>
      </c>
      <c r="E62" s="18" t="inlineStr">
        <is>
          <t>Extended</t>
        </is>
      </c>
      <c r="F62" s="18" t="inlineStr">
        <is>
          <t>Notes</t>
        </is>
      </c>
    </row>
    <row r="63">
      <c r="A63" t="inlineStr">
        <is>
          <t>Concrete 3000 PSI</t>
        </is>
      </c>
      <c r="B63" t="inlineStr">
        <is>
          <t>CY</t>
        </is>
      </c>
      <c r="C63" s="4" t="n"/>
      <c r="D63" s="14" t="n"/>
      <c r="E63" s="14">
        <f>C30*D30</f>
        <v/>
      </c>
    </row>
    <row r="64">
      <c r="A64" t="inlineStr">
        <is>
          <t>#3 Rebar</t>
        </is>
      </c>
      <c r="B64" t="inlineStr">
        <is>
          <t>LF</t>
        </is>
      </c>
      <c r="C64" s="4" t="n"/>
      <c r="D64" s="14" t="n"/>
      <c r="E64" s="14">
        <f>C31*D31</f>
        <v/>
      </c>
    </row>
    <row r="65">
      <c r="A65" t="inlineStr">
        <is>
          <t>#4 Rebar</t>
        </is>
      </c>
      <c r="B65" t="inlineStr">
        <is>
          <t>LF</t>
        </is>
      </c>
      <c r="C65" s="4" t="n"/>
      <c r="D65" s="14" t="n"/>
      <c r="E65" s="14">
        <f>C32*D32</f>
        <v/>
      </c>
    </row>
    <row r="66">
      <c r="A66" t="inlineStr">
        <is>
          <t>6mil Vapor Barrier</t>
        </is>
      </c>
      <c r="B66" t="inlineStr">
        <is>
          <t>SF</t>
        </is>
      </c>
      <c r="C66" s="4" t="n"/>
      <c r="D66" s="14" t="n"/>
      <c r="E66" s="14">
        <f>C33*D33</f>
        <v/>
      </c>
    </row>
    <row r="67">
      <c r="A67" t="inlineStr">
        <is>
          <t>Anchor Bolts</t>
        </is>
      </c>
      <c r="B67" t="inlineStr">
        <is>
          <t>EA</t>
        </is>
      </c>
      <c r="C67" s="4" t="n"/>
      <c r="D67" s="14" t="n"/>
      <c r="E67" s="14">
        <f>C34*D34</f>
        <v/>
      </c>
    </row>
    <row r="68"/>
    <row r="69">
      <c r="A69" s="17" t="inlineStr">
        <is>
          <t>EXTERIOR FINISHES</t>
        </is>
      </c>
    </row>
    <row r="70">
      <c r="A70" s="18" t="inlineStr">
        <is>
          <t>Description</t>
        </is>
      </c>
      <c r="B70" s="18" t="inlineStr">
        <is>
          <t>Unit</t>
        </is>
      </c>
      <c r="C70" s="18" t="inlineStr">
        <is>
          <t>Quantity</t>
        </is>
      </c>
      <c r="D70" s="18" t="inlineStr">
        <is>
          <t>Unit Price</t>
        </is>
      </c>
      <c r="E70" s="18" t="inlineStr">
        <is>
          <t>Extended</t>
        </is>
      </c>
      <c r="F70" s="18" t="inlineStr">
        <is>
          <t>Notes</t>
        </is>
      </c>
    </row>
    <row r="71">
      <c r="A71" t="inlineStr">
        <is>
          <t>Siding</t>
        </is>
      </c>
      <c r="B71" t="inlineStr">
        <is>
          <t>Squares</t>
        </is>
      </c>
      <c r="C71" s="4" t="n"/>
      <c r="D71" s="14" t="n"/>
      <c r="E71" s="14">
        <f>C38*D38</f>
        <v/>
      </c>
    </row>
    <row r="72">
      <c r="A72" t="inlineStr">
        <is>
          <t>J-Channel</t>
        </is>
      </c>
      <c r="B72" t="inlineStr">
        <is>
          <t>LF</t>
        </is>
      </c>
      <c r="C72" s="4" t="n"/>
      <c r="D72" s="14" t="n"/>
      <c r="E72" s="14">
        <f>C39*D39</f>
        <v/>
      </c>
    </row>
    <row r="73">
      <c r="A73" t="inlineStr">
        <is>
          <t>Corner Trim</t>
        </is>
      </c>
      <c r="B73" t="inlineStr">
        <is>
          <t>EA</t>
        </is>
      </c>
      <c r="C73" s="4" t="n"/>
      <c r="D73" s="14" t="n"/>
      <c r="E73" s="14">
        <f>C40*D40</f>
        <v/>
      </c>
    </row>
    <row r="74">
      <c r="A74" t="inlineStr">
        <is>
          <t>Fascia</t>
        </is>
      </c>
      <c r="B74" t="inlineStr">
        <is>
          <t>LF</t>
        </is>
      </c>
      <c r="C74" s="4" t="n"/>
      <c r="D74" s="14" t="n"/>
      <c r="E74" s="14">
        <f>C41*D41</f>
        <v/>
      </c>
    </row>
    <row r="75">
      <c r="A75" t="inlineStr">
        <is>
          <t>Soffit</t>
        </is>
      </c>
      <c r="B75" t="inlineStr">
        <is>
          <t>SF</t>
        </is>
      </c>
      <c r="C75" s="4" t="n"/>
      <c r="D75" s="14" t="n"/>
      <c r="E75" s="14">
        <f>C42*D42</f>
        <v/>
      </c>
    </row>
    <row r="76"/>
    <row r="77">
      <c r="D77" s="19" t="inlineStr">
        <is>
          <t>GRAND TOTAL:</t>
        </is>
      </c>
      <c r="E77" s="20" t="n"/>
    </row>
  </sheetData>
  <mergeCells count="12">
    <mergeCell ref="A10:F10"/>
    <mergeCell ref="A28:F28"/>
    <mergeCell ref="A19:F19"/>
    <mergeCell ref="A5:C5"/>
    <mergeCell ref="A36:F36"/>
    <mergeCell ref="A1:F1"/>
    <mergeCell ref="A8:C8"/>
    <mergeCell ref="A9:F9"/>
    <mergeCell ref="A6:F6"/>
    <mergeCell ref="A3:C3"/>
    <mergeCell ref="A7:C7"/>
    <mergeCell ref="A4:C4"/>
  </mergeCells>
  <pageMargins left="0.75" right="0.75" top="1" bottom="1" header="0.5" footer="0.5"/>
  <pageSetup orientation="landscape" paperSize="1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5" t="inlineStr">
        <is>
          <t>QUICK REFERENCE - CONVERSION TABLES</t>
        </is>
      </c>
    </row>
    <row r="3">
      <c r="A3" s="8" t="inlineStr">
        <is>
          <t>STUD SPACING MULTIPLIERS</t>
        </is>
      </c>
      <c r="F3" s="8" t="inlineStr">
        <is>
          <t>BOARD FEET CONVERSIONS</t>
        </is>
      </c>
    </row>
    <row r="4">
      <c r="A4" s="3" t="inlineStr">
        <is>
          <t>Spacing</t>
        </is>
      </c>
      <c r="B4" s="3" t="inlineStr">
        <is>
          <t>Studs per LF</t>
        </is>
      </c>
      <c r="C4" s="3" t="inlineStr">
        <is>
          <t>Formula</t>
        </is>
      </c>
      <c r="F4" s="3" t="inlineStr">
        <is>
          <t>Size</t>
        </is>
      </c>
      <c r="G4" s="3" t="inlineStr">
        <is>
          <t>BF per LF</t>
        </is>
      </c>
    </row>
    <row r="5">
      <c r="A5" t="inlineStr">
        <is>
          <t>12" O.C.</t>
        </is>
      </c>
      <c r="B5" t="inlineStr">
        <is>
          <t>1.00</t>
        </is>
      </c>
      <c r="C5" t="inlineStr">
        <is>
          <t>LF × 1 + 1</t>
        </is>
      </c>
      <c r="F5" t="inlineStr">
        <is>
          <t>2x4</t>
        </is>
      </c>
      <c r="G5" t="inlineStr">
        <is>
          <t>0.667</t>
        </is>
      </c>
    </row>
    <row r="6">
      <c r="A6" t="inlineStr">
        <is>
          <t>16" O.C.</t>
        </is>
      </c>
      <c r="B6" t="inlineStr">
        <is>
          <t>0.75</t>
        </is>
      </c>
      <c r="C6" t="inlineStr">
        <is>
          <t>LF × 0.75 + 1</t>
        </is>
      </c>
      <c r="F6" t="inlineStr">
        <is>
          <t>2x6</t>
        </is>
      </c>
      <c r="G6" t="inlineStr">
        <is>
          <t>1.000</t>
        </is>
      </c>
    </row>
    <row r="7">
      <c r="A7" t="inlineStr">
        <is>
          <t>24" O.C.</t>
        </is>
      </c>
      <c r="B7" t="inlineStr">
        <is>
          <t>0.50</t>
        </is>
      </c>
      <c r="C7" t="inlineStr">
        <is>
          <t>LF × 0.5 + 1</t>
        </is>
      </c>
      <c r="F7" t="inlineStr">
        <is>
          <t>2x8</t>
        </is>
      </c>
      <c r="G7" t="inlineStr">
        <is>
          <t>1.333</t>
        </is>
      </c>
    </row>
    <row r="8">
      <c r="F8" t="inlineStr">
        <is>
          <t>2x10</t>
        </is>
      </c>
      <c r="G8" t="inlineStr">
        <is>
          <t>1.667</t>
        </is>
      </c>
    </row>
    <row r="9">
      <c r="A9" s="8" t="inlineStr">
        <is>
          <t>ROOF SLOPE FACTORS</t>
        </is>
      </c>
      <c r="F9" t="inlineStr">
        <is>
          <t>2x12</t>
        </is>
      </c>
      <c r="G9" t="inlineStr">
        <is>
          <t>2.000</t>
        </is>
      </c>
    </row>
    <row r="10">
      <c r="A10" s="3" t="inlineStr">
        <is>
          <t>Pitch</t>
        </is>
      </c>
      <c r="B10" s="3" t="inlineStr">
        <is>
          <t>Degrees</t>
        </is>
      </c>
      <c r="C10" s="3" t="inlineStr">
        <is>
          <t>Slope Factor</t>
        </is>
      </c>
      <c r="D10" s="3" t="inlineStr">
        <is>
          <t>Rise per ft</t>
        </is>
      </c>
      <c r="F10" s="8" t="inlineStr">
        <is>
          <t>AREA &amp; VOLUME CONVERSIONS</t>
        </is>
      </c>
    </row>
    <row r="11">
      <c r="A11" t="inlineStr">
        <is>
          <t>3:12</t>
        </is>
      </c>
      <c r="B11" t="inlineStr">
        <is>
          <t>14.0°</t>
        </is>
      </c>
      <c r="C11" t="inlineStr">
        <is>
          <t>1.031</t>
        </is>
      </c>
      <c r="D11" t="inlineStr">
        <is>
          <t>3"</t>
        </is>
      </c>
      <c r="F11" s="3" t="inlineStr">
        <is>
          <t>1 Square</t>
        </is>
      </c>
      <c r="G11">
        <f> 100 SF</f>
        <v/>
      </c>
    </row>
    <row r="12">
      <c r="A12" t="inlineStr">
        <is>
          <t>4:12</t>
        </is>
      </c>
      <c r="B12" t="inlineStr">
        <is>
          <t>18.4°</t>
        </is>
      </c>
      <c r="C12" t="inlineStr">
        <is>
          <t>1.054</t>
        </is>
      </c>
      <c r="D12" t="inlineStr">
        <is>
          <t>4"</t>
        </is>
      </c>
      <c r="F12" s="3" t="inlineStr">
        <is>
          <t>1 Sheet (4x8)</t>
        </is>
      </c>
      <c r="G12">
        <f> 32 SF</f>
        <v/>
      </c>
    </row>
    <row r="13">
      <c r="A13" t="inlineStr">
        <is>
          <t>5:12</t>
        </is>
      </c>
      <c r="B13" t="inlineStr">
        <is>
          <t>22.6°</t>
        </is>
      </c>
      <c r="C13" t="inlineStr">
        <is>
          <t>1.083</t>
        </is>
      </c>
      <c r="D13" t="inlineStr">
        <is>
          <t>5"</t>
        </is>
      </c>
      <c r="F13" s="3" t="inlineStr">
        <is>
          <t>1 Cubic Yard</t>
        </is>
      </c>
      <c r="G13">
        <f> 27 CF</f>
        <v/>
      </c>
    </row>
    <row r="14">
      <c r="A14" t="inlineStr">
        <is>
          <t>6:12</t>
        </is>
      </c>
      <c r="B14" t="inlineStr">
        <is>
          <t>26.6°</t>
        </is>
      </c>
      <c r="C14" t="inlineStr">
        <is>
          <t>1.118</t>
        </is>
      </c>
      <c r="D14" t="inlineStr">
        <is>
          <t>6"</t>
        </is>
      </c>
      <c r="F14" s="3" t="inlineStr">
        <is>
          <t>1 Ton</t>
        </is>
      </c>
      <c r="G14">
        <f> 2000 lbs</f>
        <v/>
      </c>
    </row>
    <row r="15">
      <c r="A15" t="inlineStr">
        <is>
          <t>7:12</t>
        </is>
      </c>
      <c r="B15" t="inlineStr">
        <is>
          <t>30.3°</t>
        </is>
      </c>
      <c r="C15" t="inlineStr">
        <is>
          <t>1.158</t>
        </is>
      </c>
      <c r="D15" t="inlineStr">
        <is>
          <t>7"</t>
        </is>
      </c>
    </row>
    <row r="16">
      <c r="A16" t="inlineStr">
        <is>
          <t>8:12</t>
        </is>
      </c>
      <c r="B16" t="inlineStr">
        <is>
          <t>33.7°</t>
        </is>
      </c>
      <c r="C16" t="inlineStr">
        <is>
          <t>1.202</t>
        </is>
      </c>
      <c r="D16" t="inlineStr">
        <is>
          <t>8"</t>
        </is>
      </c>
    </row>
    <row r="17">
      <c r="A17" t="inlineStr">
        <is>
          <t>9:12</t>
        </is>
      </c>
      <c r="B17" t="inlineStr">
        <is>
          <t>36.9°</t>
        </is>
      </c>
      <c r="C17" t="inlineStr">
        <is>
          <t>1.250</t>
        </is>
      </c>
      <c r="D17" t="inlineStr">
        <is>
          <t>9"</t>
        </is>
      </c>
    </row>
    <row r="18">
      <c r="A18" t="inlineStr">
        <is>
          <t>10:12</t>
        </is>
      </c>
      <c r="B18" t="inlineStr">
        <is>
          <t>39.8°</t>
        </is>
      </c>
      <c r="C18" t="inlineStr">
        <is>
          <t>1.302</t>
        </is>
      </c>
      <c r="D18" t="inlineStr">
        <is>
          <t>10"</t>
        </is>
      </c>
    </row>
    <row r="19">
      <c r="A19" t="inlineStr">
        <is>
          <t>12:12</t>
        </is>
      </c>
      <c r="B19" t="inlineStr">
        <is>
          <t>45.0°</t>
        </is>
      </c>
      <c r="C19" t="inlineStr">
        <is>
          <t>1.414</t>
        </is>
      </c>
      <c r="D19" t="inlineStr">
        <is>
          <t>12"</t>
        </is>
      </c>
    </row>
    <row r="21">
      <c r="A21" s="8" t="inlineStr">
        <is>
          <t>TYPICAL WASTE FACTORS</t>
        </is>
      </c>
    </row>
    <row r="22">
      <c r="A22" s="3" t="inlineStr">
        <is>
          <t>Material</t>
        </is>
      </c>
      <c r="B22" s="3" t="inlineStr">
        <is>
          <t>Waste %</t>
        </is>
      </c>
      <c r="C22" s="3" t="inlineStr">
        <is>
          <t>Notes</t>
        </is>
      </c>
    </row>
    <row r="23">
      <c r="A23" t="inlineStr">
        <is>
          <t>Framing Lumber</t>
        </is>
      </c>
      <c r="B23" t="inlineStr">
        <is>
          <t>5-10%</t>
        </is>
      </c>
      <c r="C23" t="inlineStr">
        <is>
          <t>More for complex cuts</t>
        </is>
      </c>
    </row>
    <row r="24">
      <c r="A24" t="inlineStr">
        <is>
          <t>Sheathing/Subfloor</t>
        </is>
      </c>
      <c r="B24" t="inlineStr">
        <is>
          <t>10%</t>
        </is>
      </c>
      <c r="C24" t="inlineStr">
        <is>
          <t>Standard</t>
        </is>
      </c>
    </row>
    <row r="25">
      <c r="A25" t="inlineStr">
        <is>
          <t>Roof Shingles</t>
        </is>
      </c>
      <c r="B25" t="inlineStr">
        <is>
          <t>10-15%</t>
        </is>
      </c>
      <c r="C25" t="inlineStr">
        <is>
          <t>Add for hips/valleys</t>
        </is>
      </c>
    </row>
    <row r="26">
      <c r="A26" t="inlineStr">
        <is>
          <t>Vinyl Siding</t>
        </is>
      </c>
      <c r="B26" t="inlineStr">
        <is>
          <t>10%</t>
        </is>
      </c>
      <c r="C26" t="inlineStr">
        <is>
          <t>Standard</t>
        </is>
      </c>
    </row>
    <row r="27">
      <c r="A27" t="inlineStr">
        <is>
          <t>Lap Siding</t>
        </is>
      </c>
      <c r="B27" t="inlineStr">
        <is>
          <t>15%</t>
        </is>
      </c>
      <c r="C27" t="inlineStr">
        <is>
          <t>More cuts required</t>
        </is>
      </c>
    </row>
    <row r="28">
      <c r="A28" t="inlineStr">
        <is>
          <t>Concrete</t>
        </is>
      </c>
      <c r="B28" t="inlineStr">
        <is>
          <t>5-10%</t>
        </is>
      </c>
      <c r="C28" t="inlineStr">
        <is>
          <t>Spillage and leveling</t>
        </is>
      </c>
    </row>
    <row r="29">
      <c r="A29" t="inlineStr">
        <is>
          <t>Drywall</t>
        </is>
      </c>
      <c r="B29" t="inlineStr">
        <is>
          <t>10-15%</t>
        </is>
      </c>
      <c r="C29" t="inlineStr">
        <is>
          <t>Standard</t>
        </is>
      </c>
    </row>
  </sheetData>
  <mergeCells count="1">
    <mergeCell ref="A1:D1"/>
  </mergeCells>
  <pageMargins left="0.75" right="0.75" top="1" bottom="1" header="0.5" footer="0.5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2025-12-07T21:56:09Z</dcterms:created>
  <dcterms:modified xsi:type="dcterms:W3CDTF">2025-12-07T22:36:02Z</dcterms:modified>
</cp:coreProperties>
</file>