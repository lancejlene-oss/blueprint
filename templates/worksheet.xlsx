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ject Info" sheetId="1" state="visible" r:id="rId1"/>
    <sheet name="Wall Framing" sheetId="2" state="visible" r:id="rId2"/>
    <sheet name="Roof Takeoff" sheetId="3" state="visible" r:id="rId3"/>
    <sheet name="Foundation" sheetId="4" state="visible" r:id="rId4"/>
    <sheet name="Siding &amp; Exterior" sheetId="5" state="visible" r:id="rId5"/>
    <sheet name="Windows &amp; Doors" sheetId="6" state="visible" r:id="rId6"/>
    <sheet name="Material Summary" sheetId="7" state="visible" r:id="rId7"/>
    <sheet name="Conversion Tab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0">
    <font>
      <name val="Calibri"/>
      <family val="2"/>
      <color theme="1"/>
      <sz val="11"/>
      <scheme val="minor"/>
    </font>
    <font>
      <b val="1"/>
      <sz val="18"/>
    </font>
    <font>
      <b val="1"/>
      <color rgb="004472C4"/>
      <sz val="12"/>
    </font>
    <font>
      <b val="1"/>
    </font>
    <font>
      <b val="1"/>
      <sz val="14"/>
    </font>
    <font>
      <b val="1"/>
      <color rgb="00FFFFFF"/>
    </font>
    <font>
      <b val="1"/>
      <color rgb="004472C4"/>
    </font>
    <font>
      <b val="1"/>
      <sz val="16"/>
    </font>
    <font>
      <b val="1"/>
      <color rgb="00FFFFFF"/>
      <sz val="12"/>
    </font>
    <font>
      <b val="1"/>
      <sz val="12"/>
    </font>
  </fonts>
  <fills count="11">
    <fill>
      <patternFill/>
    </fill>
    <fill>
      <patternFill patternType="gray125"/>
    </fill>
    <fill>
      <patternFill patternType="solid">
        <fgColor rgb="00E7E6E6"/>
        <bgColor rgb="00E7E6E6"/>
      </patternFill>
    </fill>
    <fill>
      <patternFill patternType="solid">
        <fgColor rgb="0070AD47"/>
        <bgColor rgb="0070AD47"/>
      </patternFill>
    </fill>
    <fill>
      <patternFill patternType="solid">
        <fgColor rgb="00FFD966"/>
        <bgColor rgb="00FFD966"/>
      </patternFill>
    </fill>
    <fill>
      <patternFill patternType="solid">
        <fgColor rgb="005B9BD5"/>
        <bgColor rgb="005B9BD5"/>
      </patternFill>
    </fill>
    <fill>
      <patternFill patternType="solid">
        <fgColor rgb="00A5A5A5"/>
        <bgColor rgb="00A5A5A5"/>
      </patternFill>
    </fill>
    <fill>
      <patternFill patternType="solid">
        <fgColor rgb="00C65911"/>
        <bgColor rgb="00C65911"/>
      </patternFill>
    </fill>
    <fill>
      <patternFill patternType="solid">
        <fgColor rgb="004472C4"/>
        <bgColor rgb="004472C4"/>
      </patternFill>
    </fill>
    <fill>
      <patternFill patternType="solid">
        <fgColor rgb="00203864"/>
        <bgColor rgb="00203864"/>
      </patternFill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6" fillId="0" borderId="0" pivotButton="0" quotePrefix="0" xfId="0"/>
    <xf numFmtId="0" fontId="5" fillId="5" borderId="0" applyAlignment="1" pivotButton="0" quotePrefix="0" xfId="0">
      <alignment horizontal="center" wrapText="1"/>
    </xf>
    <xf numFmtId="0" fontId="5" fillId="6" borderId="0" pivotButton="0" quotePrefix="0" xfId="0"/>
    <xf numFmtId="0" fontId="5" fillId="7" borderId="0" applyAlignment="1" pivotButton="0" quotePrefix="0" xfId="0">
      <alignment horizontal="center" wrapText="1"/>
    </xf>
    <xf numFmtId="2" fontId="3" fillId="0" borderId="0" pivotButton="0" quotePrefix="0" xfId="0"/>
    <xf numFmtId="0" fontId="5" fillId="8" borderId="0" pivotButton="0" quotePrefix="0" xfId="0"/>
    <xf numFmtId="164" fontId="0" fillId="0" borderId="0" pivotButton="0" quotePrefix="0" xfId="0"/>
    <xf numFmtId="0" fontId="5" fillId="7" borderId="0" pivotButton="0" quotePrefix="0" xfId="0"/>
    <xf numFmtId="0" fontId="7" fillId="0" borderId="0" pivotButton="0" quotePrefix="0" xfId="0"/>
    <xf numFmtId="0" fontId="8" fillId="9" borderId="0" pivotButton="0" quotePrefix="0" xfId="0"/>
    <xf numFmtId="0" fontId="3" fillId="10" borderId="0" pivotButton="0" quotePrefix="0" xfId="0"/>
    <xf numFmtId="0" fontId="9" fillId="0" borderId="0" pivotButton="0" quotePrefix="0" xfId="0"/>
    <xf numFmtId="164" fontId="9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1" t="inlineStr">
        <is>
          <t>BLUEPRINT TAKEOFF WORKSHEET</t>
        </is>
      </c>
    </row>
    <row r="3">
      <c r="A3" s="2" t="inlineStr">
        <is>
          <t>PROJECT INFORMATION</t>
        </is>
      </c>
    </row>
    <row r="4">
      <c r="A4" s="3" t="inlineStr">
        <is>
          <t>Project Name:</t>
        </is>
      </c>
      <c r="B4" s="4" t="n"/>
    </row>
    <row r="5">
      <c r="A5" s="3" t="inlineStr">
        <is>
          <t>Job Number:</t>
        </is>
      </c>
      <c r="B5" s="4" t="n"/>
    </row>
    <row r="6">
      <c r="A6" s="3" t="inlineStr">
        <is>
          <t>Builder/Customer:</t>
        </is>
      </c>
      <c r="B6" s="4" t="n"/>
    </row>
    <row r="7">
      <c r="A7" s="3" t="inlineStr">
        <is>
          <t>Address:</t>
        </is>
      </c>
      <c r="B7" s="4" t="n"/>
    </row>
    <row r="8">
      <c r="A8" s="3" t="inlineStr">
        <is>
          <t>Plan Set Date:</t>
        </is>
      </c>
      <c r="B8" s="4" t="n"/>
    </row>
    <row r="9">
      <c r="A9" s="3" t="inlineStr">
        <is>
          <t>Revision Number:</t>
        </is>
      </c>
      <c r="B9" s="4" t="n"/>
    </row>
    <row r="10">
      <c r="A10" s="3" t="inlineStr">
        <is>
          <t>Takeoff By:</t>
        </is>
      </c>
      <c r="B10" s="4" t="n"/>
    </row>
    <row r="11">
      <c r="A11" s="3" t="inlineStr">
        <is>
          <t>Date Completed:</t>
        </is>
      </c>
      <c r="B11" s="4" t="n"/>
    </row>
    <row r="12">
      <c r="A12" s="3" t="inlineStr">
        <is>
          <t>Checked By:</t>
        </is>
      </c>
      <c r="B12" s="4" t="n"/>
    </row>
    <row r="14">
      <c r="A14" s="2" t="inlineStr">
        <is>
          <t>BUILDING SPECIFICATIONS</t>
        </is>
      </c>
    </row>
    <row r="15">
      <c r="A15" s="3" t="inlineStr">
        <is>
          <t>Building Type:</t>
        </is>
      </c>
      <c r="B15" s="4" t="n"/>
    </row>
    <row r="16">
      <c r="A16" s="3" t="inlineStr">
        <is>
          <t>Stories:</t>
        </is>
      </c>
      <c r="B16" s="4" t="n"/>
    </row>
    <row r="17">
      <c r="A17" s="3" t="inlineStr">
        <is>
          <t>Foundation Type:</t>
        </is>
      </c>
      <c r="B17" s="4" t="n"/>
    </row>
    <row r="18">
      <c r="A18" s="3" t="inlineStr">
        <is>
          <t>Roof Type:</t>
        </is>
      </c>
      <c r="B18" s="4" t="n"/>
    </row>
    <row r="19">
      <c r="A19" s="3" t="inlineStr">
        <is>
          <t>Total Square Footage:</t>
        </is>
      </c>
      <c r="B19" s="4" t="n"/>
    </row>
    <row r="20">
      <c r="A20" s="3" t="inlineStr">
        <is>
          <t>Wall Height:</t>
        </is>
      </c>
      <c r="B20" s="4" t="n"/>
    </row>
    <row r="22">
      <c r="A22" s="2" t="inlineStr">
        <is>
          <t>REGIONAL NOTES (Southeast Texas)</t>
        </is>
      </c>
    </row>
    <row r="23">
      <c r="A23" t="inlineStr">
        <is>
          <t>• Slab foundations are standard (high water table)</t>
        </is>
      </c>
    </row>
    <row r="24">
      <c r="A24" t="inlineStr">
        <is>
          <t>• Consider humidity-resistant materials</t>
        </is>
      </c>
    </row>
    <row r="25">
      <c r="A25" t="inlineStr">
        <is>
          <t>• Windstorm requirements (hurricane zone)</t>
        </is>
      </c>
    </row>
    <row r="26">
      <c r="A26" t="inlineStr">
        <is>
          <t>• Treated lumber required for bottom plates</t>
        </is>
      </c>
    </row>
    <row r="27">
      <c r="A27" t="inlineStr">
        <is>
          <t>• Additional anchor bolts per wind code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5" t="inlineStr">
        <is>
          <t>WALL FRAMING TAKEOFF</t>
        </is>
      </c>
    </row>
    <row r="3">
      <c r="A3" s="6" t="inlineStr">
        <is>
          <t>Wall ID</t>
        </is>
      </c>
      <c r="B3" s="6" t="inlineStr">
        <is>
          <t>Location</t>
        </is>
      </c>
      <c r="C3" s="6" t="inlineStr">
        <is>
          <t>Length (ft)</t>
        </is>
      </c>
      <c r="D3" s="6" t="inlineStr">
        <is>
          <t>Height (ft)</t>
        </is>
      </c>
      <c r="E3" s="6" t="inlineStr">
        <is>
          <t>Stud Spacing</t>
        </is>
      </c>
      <c r="F3" s="6" t="inlineStr">
        <is>
          <t>Base Studs</t>
        </is>
      </c>
      <c r="G3" s="6" t="inlineStr">
        <is>
          <t>Corner Adds</t>
        </is>
      </c>
      <c r="H3" s="6" t="inlineStr">
        <is>
          <t>Opening Adj</t>
        </is>
      </c>
      <c r="I3" s="6" t="inlineStr">
        <is>
          <t>Total Studs</t>
        </is>
      </c>
      <c r="J3" s="6" t="inlineStr">
        <is>
          <t>Bottom Plate LF</t>
        </is>
      </c>
      <c r="K3" s="6" t="inlineStr">
        <is>
          <t>Top Plate LF</t>
        </is>
      </c>
      <c r="L3" s="6" t="inlineStr">
        <is>
          <t>Header Notes</t>
        </is>
      </c>
      <c r="M3" s="6" t="inlineStr">
        <is>
          <t>Treated?</t>
        </is>
      </c>
    </row>
    <row r="4">
      <c r="F4">
        <f>IF(C4="","",INT(C4*12/16)+1)</f>
        <v/>
      </c>
      <c r="I4">
        <f>IF(F4="","",F4+G4+H4)</f>
        <v/>
      </c>
      <c r="J4">
        <f>IF(C4="","",C4)</f>
        <v/>
      </c>
      <c r="K4">
        <f>IF(C4="","",C4*2)</f>
        <v/>
      </c>
    </row>
    <row r="5">
      <c r="F5">
        <f>IF(C5="","",INT(C5*12/16)+1)</f>
        <v/>
      </c>
      <c r="I5">
        <f>IF(F5="","",F5+G5+H5)</f>
        <v/>
      </c>
      <c r="J5">
        <f>IF(C5="","",C5)</f>
        <v/>
      </c>
      <c r="K5">
        <f>IF(C5="","",C5*2)</f>
        <v/>
      </c>
    </row>
    <row r="6">
      <c r="F6">
        <f>IF(C6="","",INT(C6*12/16)+1)</f>
        <v/>
      </c>
      <c r="I6">
        <f>IF(F6="","",F6+G6+H6)</f>
        <v/>
      </c>
      <c r="J6">
        <f>IF(C6="","",C6)</f>
        <v/>
      </c>
      <c r="K6">
        <f>IF(C6="","",C6*2)</f>
        <v/>
      </c>
    </row>
    <row r="7">
      <c r="F7">
        <f>IF(C7="","",INT(C7*12/16)+1)</f>
        <v/>
      </c>
      <c r="I7">
        <f>IF(F7="","",F7+G7+H7)</f>
        <v/>
      </c>
      <c r="J7">
        <f>IF(C7="","",C7)</f>
        <v/>
      </c>
      <c r="K7">
        <f>IF(C7="","",C7*2)</f>
        <v/>
      </c>
    </row>
    <row r="8">
      <c r="F8">
        <f>IF(C8="","",INT(C8*12/16)+1)</f>
        <v/>
      </c>
      <c r="I8">
        <f>IF(F8="","",F8+G8+H8)</f>
        <v/>
      </c>
      <c r="J8">
        <f>IF(C8="","",C8)</f>
        <v/>
      </c>
      <c r="K8">
        <f>IF(C8="","",C8*2)</f>
        <v/>
      </c>
    </row>
    <row r="9">
      <c r="F9">
        <f>IF(C9="","",INT(C9*12/16)+1)</f>
        <v/>
      </c>
      <c r="I9">
        <f>IF(F9="","",F9+G9+H9)</f>
        <v/>
      </c>
      <c r="J9">
        <f>IF(C9="","",C9)</f>
        <v/>
      </c>
      <c r="K9">
        <f>IF(C9="","",C9*2)</f>
        <v/>
      </c>
    </row>
    <row r="10">
      <c r="F10">
        <f>IF(C10="","",INT(C10*12/16)+1)</f>
        <v/>
      </c>
      <c r="I10">
        <f>IF(F10="","",F10+G10+H10)</f>
        <v/>
      </c>
      <c r="J10">
        <f>IF(C10="","",C10)</f>
        <v/>
      </c>
      <c r="K10">
        <f>IF(C10="","",C10*2)</f>
        <v/>
      </c>
    </row>
    <row r="11">
      <c r="F11">
        <f>IF(C11="","",INT(C11*12/16)+1)</f>
        <v/>
      </c>
      <c r="I11">
        <f>IF(F11="","",F11+G11+H11)</f>
        <v/>
      </c>
      <c r="J11">
        <f>IF(C11="","",C11)</f>
        <v/>
      </c>
      <c r="K11">
        <f>IF(C11="","",C11*2)</f>
        <v/>
      </c>
    </row>
    <row r="12">
      <c r="F12">
        <f>IF(C12="","",INT(C12*12/16)+1)</f>
        <v/>
      </c>
      <c r="I12">
        <f>IF(F12="","",F12+G12+H12)</f>
        <v/>
      </c>
      <c r="J12">
        <f>IF(C12="","",C12)</f>
        <v/>
      </c>
      <c r="K12">
        <f>IF(C12="","",C12*2)</f>
        <v/>
      </c>
    </row>
    <row r="13">
      <c r="F13">
        <f>IF(C13="","",INT(C13*12/16)+1)</f>
        <v/>
      </c>
      <c r="I13">
        <f>IF(F13="","",F13+G13+H13)</f>
        <v/>
      </c>
      <c r="J13">
        <f>IF(C13="","",C13)</f>
        <v/>
      </c>
      <c r="K13">
        <f>IF(C13="","",C13*2)</f>
        <v/>
      </c>
    </row>
    <row r="14">
      <c r="F14">
        <f>IF(C14="","",INT(C14*12/16)+1)</f>
        <v/>
      </c>
      <c r="I14">
        <f>IF(F14="","",F14+G14+H14)</f>
        <v/>
      </c>
      <c r="J14">
        <f>IF(C14="","",C14)</f>
        <v/>
      </c>
      <c r="K14">
        <f>IF(C14="","",C14*2)</f>
        <v/>
      </c>
    </row>
    <row r="15">
      <c r="F15">
        <f>IF(C15="","",INT(C15*12/16)+1)</f>
        <v/>
      </c>
      <c r="I15">
        <f>IF(F15="","",F15+G15+H15)</f>
        <v/>
      </c>
      <c r="J15">
        <f>IF(C15="","",C15)</f>
        <v/>
      </c>
      <c r="K15">
        <f>IF(C15="","",C15*2)</f>
        <v/>
      </c>
    </row>
    <row r="16">
      <c r="F16">
        <f>IF(C16="","",INT(C16*12/16)+1)</f>
        <v/>
      </c>
      <c r="I16">
        <f>IF(F16="","",F16+G16+H16)</f>
        <v/>
      </c>
      <c r="J16">
        <f>IF(C16="","",C16)</f>
        <v/>
      </c>
      <c r="K16">
        <f>IF(C16="","",C16*2)</f>
        <v/>
      </c>
    </row>
    <row r="17">
      <c r="F17">
        <f>IF(C17="","",INT(C17*12/16)+1)</f>
        <v/>
      </c>
      <c r="I17">
        <f>IF(F17="","",F17+G17+H17)</f>
        <v/>
      </c>
      <c r="J17">
        <f>IF(C17="","",C17)</f>
        <v/>
      </c>
      <c r="K17">
        <f>IF(C17="","",C17*2)</f>
        <v/>
      </c>
    </row>
    <row r="18">
      <c r="F18">
        <f>IF(C18="","",INT(C18*12/16)+1)</f>
        <v/>
      </c>
      <c r="I18">
        <f>IF(F18="","",F18+G18+H18)</f>
        <v/>
      </c>
      <c r="J18">
        <f>IF(C18="","",C18)</f>
        <v/>
      </c>
      <c r="K18">
        <f>IF(C18="","",C18*2)</f>
        <v/>
      </c>
    </row>
    <row r="19">
      <c r="F19">
        <f>IF(C19="","",INT(C19*12/16)+1)</f>
        <v/>
      </c>
      <c r="I19">
        <f>IF(F19="","",F19+G19+H19)</f>
        <v/>
      </c>
      <c r="J19">
        <f>IF(C19="","",C19)</f>
        <v/>
      </c>
      <c r="K19">
        <f>IF(C19="","",C19*2)</f>
        <v/>
      </c>
    </row>
    <row r="20">
      <c r="F20">
        <f>IF(C20="","",INT(C20*12/16)+1)</f>
        <v/>
      </c>
      <c r="I20">
        <f>IF(F20="","",F20+G20+H20)</f>
        <v/>
      </c>
      <c r="J20">
        <f>IF(C20="","",C20)</f>
        <v/>
      </c>
      <c r="K20">
        <f>IF(C20="","",C20*2)</f>
        <v/>
      </c>
    </row>
    <row r="21">
      <c r="F21">
        <f>IF(C21="","",INT(C21*12/16)+1)</f>
        <v/>
      </c>
      <c r="I21">
        <f>IF(F21="","",F21+G21+H21)</f>
        <v/>
      </c>
      <c r="J21">
        <f>IF(C21="","",C21)</f>
        <v/>
      </c>
      <c r="K21">
        <f>IF(C21="","",C21*2)</f>
        <v/>
      </c>
    </row>
    <row r="22">
      <c r="F22">
        <f>IF(C22="","",INT(C22*12/16)+1)</f>
        <v/>
      </c>
      <c r="I22">
        <f>IF(F22="","",F22+G22+H22)</f>
        <v/>
      </c>
      <c r="J22">
        <f>IF(C22="","",C22)</f>
        <v/>
      </c>
      <c r="K22">
        <f>IF(C22="","",C22*2)</f>
        <v/>
      </c>
    </row>
    <row r="23">
      <c r="F23">
        <f>IF(C23="","",INT(C23*12/16)+1)</f>
        <v/>
      </c>
      <c r="I23">
        <f>IF(F23="","",F23+G23+H23)</f>
        <v/>
      </c>
      <c r="J23">
        <f>IF(C23="","",C23)</f>
        <v/>
      </c>
      <c r="K23">
        <f>IF(C23="","",C23*2)</f>
        <v/>
      </c>
    </row>
    <row r="24">
      <c r="A24" s="3" t="inlineStr">
        <is>
          <t>TOTALS</t>
        </is>
      </c>
      <c r="I24" s="7">
        <f>SUM(I4:I23)</f>
        <v/>
      </c>
      <c r="J24" s="7">
        <f>SUM(J4:J23)</f>
        <v/>
      </c>
      <c r="K24" s="7">
        <f>SUM(K4:K23)</f>
        <v/>
      </c>
    </row>
    <row r="26">
      <c r="A26" s="8" t="inlineStr">
        <is>
          <t>INSTRUCTIONS:</t>
        </is>
      </c>
    </row>
    <row r="27">
      <c r="A27" t="inlineStr">
        <is>
          <t>1. Enter wall length in feet (e.g., 24)</t>
        </is>
      </c>
    </row>
    <row r="28">
      <c r="A28" t="inlineStr">
        <is>
          <t>2. Enter wall height in feet (e.g., 8)</t>
        </is>
      </c>
    </row>
    <row r="29">
      <c r="A29" t="inlineStr">
        <is>
          <t>3. Stud spacing: 16 or 24 (16 is most common)</t>
        </is>
      </c>
    </row>
    <row r="30">
      <c r="A30" t="inlineStr">
        <is>
          <t>4. Corner Adds: +2 for exterior corners, +1 for T-intersections</t>
        </is>
      </c>
    </row>
    <row r="31">
      <c r="A31" t="inlineStr">
        <is>
          <t>5. Opening Adj: Count king/jack studs minus displaced studs</t>
        </is>
      </c>
    </row>
  </sheetData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5" t="inlineStr">
        <is>
          <t>ROOF TAKEOFF CALCULATOR</t>
        </is>
      </c>
    </row>
    <row r="3">
      <c r="A3" s="8" t="inlineStr">
        <is>
          <t>SLOPE FACTORS (Reference)</t>
        </is>
      </c>
      <c r="D3" s="2" t="inlineStr">
        <is>
          <t>ROOF PLANE CALCULATIONS</t>
        </is>
      </c>
    </row>
    <row r="4">
      <c r="A4" s="3" t="inlineStr">
        <is>
          <t>Pitch</t>
        </is>
      </c>
      <c r="B4" s="3" t="inlineStr">
        <is>
          <t>Factor</t>
        </is>
      </c>
      <c r="D4" s="9" t="inlineStr">
        <is>
          <t>Plane ID</t>
        </is>
      </c>
      <c r="E4" s="9" t="inlineStr">
        <is>
          <t>Length (ft)</t>
        </is>
      </c>
      <c r="F4" s="9" t="inlineStr">
        <is>
          <t>Width (ft)</t>
        </is>
      </c>
      <c r="G4" s="9" t="inlineStr">
        <is>
          <t>Pitch</t>
        </is>
      </c>
      <c r="H4" s="9" t="inlineStr">
        <is>
          <t>Slope Factor</t>
        </is>
      </c>
      <c r="I4" s="9" t="inlineStr">
        <is>
          <t>Horiz Area (SF)</t>
        </is>
      </c>
      <c r="J4" s="9" t="inlineStr">
        <is>
          <t>Surface Area (SF)</t>
        </is>
      </c>
      <c r="K4" s="9" t="inlineStr">
        <is>
          <t>Sheathing Sheets</t>
        </is>
      </c>
      <c r="L4" s="9" t="inlineStr">
        <is>
          <t>Waste %</t>
        </is>
      </c>
      <c r="M4" s="9" t="inlineStr">
        <is>
          <t>Total Sheets</t>
        </is>
      </c>
      <c r="N4" s="9" t="inlineStr">
        <is>
          <t>Bundles</t>
        </is>
      </c>
    </row>
    <row r="5">
      <c r="A5" t="inlineStr">
        <is>
          <t>4:12</t>
        </is>
      </c>
      <c r="B5" t="n">
        <v>1.054</v>
      </c>
      <c r="I5">
        <f>IF(E5="","",E5*F5)</f>
        <v/>
      </c>
      <c r="J5">
        <f>IF(I5="","",I5*H5)</f>
        <v/>
      </c>
      <c r="K5">
        <f>IF(J5="","",J5/32)</f>
        <v/>
      </c>
      <c r="M5">
        <f>IF(K5="","",ROUNDUP(K5*(1+L5/100),0))</f>
        <v/>
      </c>
      <c r="N5">
        <f>IF(J5="","",ROUNDUP(J5/100*3,0))</f>
        <v/>
      </c>
    </row>
    <row r="6">
      <c r="A6" t="inlineStr">
        <is>
          <t>5:12</t>
        </is>
      </c>
      <c r="B6" t="n">
        <v>1.083</v>
      </c>
      <c r="I6">
        <f>IF(E6="","",E6*F6)</f>
        <v/>
      </c>
      <c r="J6">
        <f>IF(I6="","",I6*H6)</f>
        <v/>
      </c>
      <c r="K6">
        <f>IF(J6="","",J6/32)</f>
        <v/>
      </c>
      <c r="M6">
        <f>IF(K6="","",ROUNDUP(K6*(1+L6/100),0))</f>
        <v/>
      </c>
      <c r="N6">
        <f>IF(J6="","",ROUNDUP(J6/100*3,0))</f>
        <v/>
      </c>
    </row>
    <row r="7">
      <c r="A7" t="inlineStr">
        <is>
          <t>6:12</t>
        </is>
      </c>
      <c r="B7" t="n">
        <v>1.118</v>
      </c>
      <c r="I7">
        <f>IF(E7="","",E7*F7)</f>
        <v/>
      </c>
      <c r="J7">
        <f>IF(I7="","",I7*H7)</f>
        <v/>
      </c>
      <c r="K7">
        <f>IF(J7="","",J7/32)</f>
        <v/>
      </c>
      <c r="M7">
        <f>IF(K7="","",ROUNDUP(K7*(1+L7/100),0))</f>
        <v/>
      </c>
      <c r="N7">
        <f>IF(J7="","",ROUNDUP(J7/100*3,0))</f>
        <v/>
      </c>
    </row>
    <row r="8">
      <c r="A8" t="inlineStr">
        <is>
          <t>7:12</t>
        </is>
      </c>
      <c r="B8" t="n">
        <v>1.158</v>
      </c>
      <c r="I8">
        <f>IF(E8="","",E8*F8)</f>
        <v/>
      </c>
      <c r="J8">
        <f>IF(I8="","",I8*H8)</f>
        <v/>
      </c>
      <c r="K8">
        <f>IF(J8="","",J8/32)</f>
        <v/>
      </c>
      <c r="M8">
        <f>IF(K8="","",ROUNDUP(K8*(1+L8/100),0))</f>
        <v/>
      </c>
      <c r="N8">
        <f>IF(J8="","",ROUNDUP(J8/100*3,0))</f>
        <v/>
      </c>
    </row>
    <row r="9">
      <c r="A9" t="inlineStr">
        <is>
          <t>8:12</t>
        </is>
      </c>
      <c r="B9" t="n">
        <v>1.202</v>
      </c>
      <c r="I9">
        <f>IF(E9="","",E9*F9)</f>
        <v/>
      </c>
      <c r="J9">
        <f>IF(I9="","",I9*H9)</f>
        <v/>
      </c>
      <c r="K9">
        <f>IF(J9="","",J9/32)</f>
        <v/>
      </c>
      <c r="M9">
        <f>IF(K9="","",ROUNDUP(K9*(1+L9/100),0))</f>
        <v/>
      </c>
      <c r="N9">
        <f>IF(J9="","",ROUNDUP(J9/100*3,0))</f>
        <v/>
      </c>
    </row>
    <row r="10">
      <c r="A10" t="inlineStr">
        <is>
          <t>9:12</t>
        </is>
      </c>
      <c r="B10" t="n">
        <v>1.25</v>
      </c>
      <c r="I10">
        <f>IF(E10="","",E10*F10)</f>
        <v/>
      </c>
      <c r="J10">
        <f>IF(I10="","",I10*H10)</f>
        <v/>
      </c>
      <c r="K10">
        <f>IF(J10="","",J10/32)</f>
        <v/>
      </c>
      <c r="M10">
        <f>IF(K10="","",ROUNDUP(K10*(1+L10/100),0))</f>
        <v/>
      </c>
      <c r="N10">
        <f>IF(J10="","",ROUNDUP(J10/100*3,0))</f>
        <v/>
      </c>
    </row>
    <row r="11">
      <c r="A11" t="inlineStr">
        <is>
          <t>10:12</t>
        </is>
      </c>
      <c r="B11" t="n">
        <v>1.302</v>
      </c>
      <c r="I11">
        <f>IF(E11="","",E11*F11)</f>
        <v/>
      </c>
      <c r="J11">
        <f>IF(I11="","",I11*H11)</f>
        <v/>
      </c>
      <c r="K11">
        <f>IF(J11="","",J11/32)</f>
        <v/>
      </c>
      <c r="M11">
        <f>IF(K11="","",ROUNDUP(K11*(1+L11/100),0))</f>
        <v/>
      </c>
      <c r="N11">
        <f>IF(J11="","",ROUNDUP(J11/100*3,0))</f>
        <v/>
      </c>
    </row>
    <row r="12">
      <c r="A12" t="inlineStr">
        <is>
          <t>12:12</t>
        </is>
      </c>
      <c r="B12" t="n">
        <v>1.414</v>
      </c>
      <c r="I12">
        <f>IF(E12="","",E12*F12)</f>
        <v/>
      </c>
      <c r="J12">
        <f>IF(I12="","",I12*H12)</f>
        <v/>
      </c>
      <c r="K12">
        <f>IF(J12="","",J12/32)</f>
        <v/>
      </c>
      <c r="M12">
        <f>IF(K12="","",ROUNDUP(K12*(1+L12/100),0))</f>
        <v/>
      </c>
      <c r="N12">
        <f>IF(J12="","",ROUNDUP(J12/100*3,0))</f>
        <v/>
      </c>
    </row>
    <row r="13">
      <c r="I13">
        <f>IF(E13="","",E13*F13)</f>
        <v/>
      </c>
      <c r="J13">
        <f>IF(I13="","",I13*H13)</f>
        <v/>
      </c>
      <c r="K13">
        <f>IF(J13="","",J13/32)</f>
        <v/>
      </c>
      <c r="M13">
        <f>IF(K13="","",ROUNDUP(K13*(1+L13/100),0))</f>
        <v/>
      </c>
      <c r="N13">
        <f>IF(J13="","",ROUNDUP(J13/100*3,0))</f>
        <v/>
      </c>
    </row>
    <row r="14">
      <c r="I14">
        <f>IF(E14="","",E14*F14)</f>
        <v/>
      </c>
      <c r="J14">
        <f>IF(I14="","",I14*H14)</f>
        <v/>
      </c>
      <c r="K14">
        <f>IF(J14="","",J14/32)</f>
        <v/>
      </c>
      <c r="M14">
        <f>IF(K14="","",ROUNDUP(K14*(1+L14/100),0))</f>
        <v/>
      </c>
      <c r="N14">
        <f>IF(J14="","",ROUNDUP(J14/100*3,0))</f>
        <v/>
      </c>
    </row>
    <row r="16">
      <c r="D16" s="3" t="inlineStr">
        <is>
          <t>TOTALS</t>
        </is>
      </c>
      <c r="J16" s="7">
        <f>SUM(J5:J15)</f>
        <v/>
      </c>
      <c r="K16" s="7">
        <f>SUM(K5:K15)</f>
        <v/>
      </c>
      <c r="M16" s="7">
        <f>SUM(M5:M15)</f>
        <v/>
      </c>
      <c r="N16" s="7">
        <f>SUM(N5:N15)</f>
        <v/>
      </c>
    </row>
    <row r="18">
      <c r="D18" s="8" t="inlineStr">
        <is>
          <t>NOTES:</t>
        </is>
      </c>
    </row>
    <row r="19">
      <c r="D19" t="inlineStr">
        <is>
          <t>• One 4x8 sheet = 32 square feet</t>
        </is>
      </c>
    </row>
    <row r="20">
      <c r="D20" t="inlineStr">
        <is>
          <t>• Typical waste factor: 10-15% for cuts and starter</t>
        </is>
      </c>
    </row>
    <row r="21">
      <c r="D21" t="inlineStr">
        <is>
          <t>• Shingles: 3 bundles = 1 square (100 SF)</t>
        </is>
      </c>
    </row>
    <row r="22">
      <c r="D22" t="inlineStr">
        <is>
          <t>• Hip and ridge cap: Add 10% to total bundles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5" t="inlineStr">
        <is>
          <t>FOUNDATION &amp; CONCRETE TAKEOFF</t>
        </is>
      </c>
    </row>
    <row r="3">
      <c r="A3" s="2" t="inlineStr">
        <is>
          <t>SLAB CALCULATIONS</t>
        </is>
      </c>
    </row>
    <row r="4">
      <c r="A4" s="10" t="inlineStr">
        <is>
          <t>Element</t>
        </is>
      </c>
      <c r="B4" s="10" t="inlineStr">
        <is>
          <t>Length (ft)</t>
        </is>
      </c>
      <c r="C4" s="10" t="inlineStr">
        <is>
          <t>Width (ft)</t>
        </is>
      </c>
      <c r="D4" s="10" t="inlineStr">
        <is>
          <t>Thickness (in)</t>
        </is>
      </c>
      <c r="E4" s="10" t="inlineStr">
        <is>
          <t>Cu Ft</t>
        </is>
      </c>
      <c r="F4" s="10" t="inlineStr">
        <is>
          <t>Cu Yd</t>
        </is>
      </c>
      <c r="G4" s="10" t="inlineStr">
        <is>
          <t>Notes</t>
        </is>
      </c>
    </row>
    <row r="5">
      <c r="E5">
        <f>IF(B5="","",B5*C5*(D5/12))</f>
        <v/>
      </c>
      <c r="F5">
        <f>IF(E5="","",E5/27)</f>
        <v/>
      </c>
    </row>
    <row r="6">
      <c r="E6">
        <f>IF(B6="","",B6*C6*(D6/12))</f>
        <v/>
      </c>
      <c r="F6">
        <f>IF(E6="","",E6/27)</f>
        <v/>
      </c>
    </row>
    <row r="7">
      <c r="E7">
        <f>IF(B7="","",B7*C7*(D7/12))</f>
        <v/>
      </c>
      <c r="F7">
        <f>IF(E7="","",E7/27)</f>
        <v/>
      </c>
    </row>
    <row r="8">
      <c r="E8">
        <f>IF(B8="","",B8*C8*(D8/12))</f>
        <v/>
      </c>
      <c r="F8">
        <f>IF(E8="","",E8/27)</f>
        <v/>
      </c>
    </row>
    <row r="9">
      <c r="E9">
        <f>IF(B9="","",B9*C9*(D9/12))</f>
        <v/>
      </c>
      <c r="F9">
        <f>IF(E9="","",E9/27)</f>
        <v/>
      </c>
    </row>
    <row r="11">
      <c r="A11" s="2" t="inlineStr">
        <is>
          <t>PERIMETER FOOTING</t>
        </is>
      </c>
    </row>
    <row r="12">
      <c r="A12" s="10" t="inlineStr">
        <is>
          <t>Location</t>
        </is>
      </c>
      <c r="B12" s="10" t="inlineStr">
        <is>
          <t>Length (ft)</t>
        </is>
      </c>
      <c r="C12" s="10" t="inlineStr">
        <is>
          <t>Width (in)</t>
        </is>
      </c>
      <c r="D12" s="10" t="inlineStr">
        <is>
          <t>Depth (in)</t>
        </is>
      </c>
      <c r="E12" s="10" t="inlineStr">
        <is>
          <t>Cu Ft</t>
        </is>
      </c>
      <c r="F12" s="10" t="inlineStr">
        <is>
          <t>Cu Yd</t>
        </is>
      </c>
      <c r="G12" s="10" t="inlineStr">
        <is>
          <t>Rebar LF</t>
        </is>
      </c>
    </row>
    <row r="13">
      <c r="E13">
        <f>IF(B13="","",B13*(C13/12)*(D13/12))</f>
        <v/>
      </c>
      <c r="F13">
        <f>IF(E13="","",E13/27)</f>
        <v/>
      </c>
      <c r="G13">
        <f>IF(B13="","",B13*2)</f>
        <v/>
      </c>
    </row>
    <row r="14">
      <c r="E14">
        <f>IF(B14="","",B14*(C14/12)*(D14/12))</f>
        <v/>
      </c>
      <c r="F14">
        <f>IF(E14="","",E14/27)</f>
        <v/>
      </c>
      <c r="G14">
        <f>IF(B14="","",B14*2)</f>
        <v/>
      </c>
    </row>
    <row r="15">
      <c r="E15">
        <f>IF(B15="","",B15*(C15/12)*(D15/12))</f>
        <v/>
      </c>
      <c r="F15">
        <f>IF(E15="","",E15/27)</f>
        <v/>
      </c>
      <c r="G15">
        <f>IF(B15="","",B15*2)</f>
        <v/>
      </c>
    </row>
    <row r="16">
      <c r="E16">
        <f>IF(B16="","",B16*(C16/12)*(D16/12))</f>
        <v/>
      </c>
      <c r="F16">
        <f>IF(E16="","",E16/27)</f>
        <v/>
      </c>
      <c r="G16">
        <f>IF(B16="","",B16*2)</f>
        <v/>
      </c>
    </row>
    <row r="17">
      <c r="E17">
        <f>IF(B17="","",B17*(C17/12)*(D17/12))</f>
        <v/>
      </c>
      <c r="F17">
        <f>IF(E17="","",E17/27)</f>
        <v/>
      </c>
      <c r="G17">
        <f>IF(B17="","",B17*2)</f>
        <v/>
      </c>
    </row>
    <row r="19">
      <c r="A19" s="3" t="inlineStr">
        <is>
          <t>TOTAL CONCRETE</t>
        </is>
      </c>
      <c r="F19" s="7">
        <f>SUM(F5:F9,F13:F18)</f>
        <v/>
      </c>
    </row>
    <row r="20">
      <c r="A20" s="3" t="inlineStr">
        <is>
          <t>TOTAL REBAR</t>
        </is>
      </c>
      <c r="G20" s="7">
        <f>SUM(G13:G18)</f>
        <v/>
      </c>
    </row>
    <row r="22">
      <c r="A22" s="8" t="inlineStr">
        <is>
          <t>CONVERSION FACTORS:</t>
        </is>
      </c>
    </row>
    <row r="23">
      <c r="A23" t="inlineStr">
        <is>
          <t>• 1 cubic yard = 27 cubic feet</t>
        </is>
      </c>
    </row>
    <row r="24">
      <c r="A24" t="inlineStr">
        <is>
          <t>• Add 5-10% waste for concrete</t>
        </is>
      </c>
    </row>
    <row r="25">
      <c r="A25" t="inlineStr">
        <is>
          <t>• Standard slab thickness: 4 inches</t>
        </is>
      </c>
    </row>
    <row r="26">
      <c r="A26" t="inlineStr">
        <is>
          <t>• Perimeter footing: typically 16" wide x 12" deep minimum</t>
        </is>
      </c>
    </row>
    <row r="27">
      <c r="A27" t="inlineStr">
        <is>
          <t>• Southeast Texas: All bottom plates must be treated lumber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5" t="inlineStr">
        <is>
          <t>SIDING &amp; EXTERIOR MATERIALS TAKEOFF</t>
        </is>
      </c>
    </row>
    <row r="3">
      <c r="A3" s="11" t="inlineStr">
        <is>
          <t>Elevation</t>
        </is>
      </c>
      <c r="B3" s="11" t="inlineStr">
        <is>
          <t>LF</t>
        </is>
      </c>
      <c r="C3" s="11" t="inlineStr">
        <is>
          <t>Plate Ht (ft)</t>
        </is>
      </c>
      <c r="D3" s="11" t="inlineStr">
        <is>
          <t>Gable Rise (ft)</t>
        </is>
      </c>
      <c r="E3" s="11" t="inlineStr">
        <is>
          <t>Wall Area</t>
        </is>
      </c>
      <c r="F3" s="11" t="inlineStr">
        <is>
          <t>Gable Area</t>
        </is>
      </c>
      <c r="G3" s="11" t="inlineStr">
        <is>
          <t>Gross SF</t>
        </is>
      </c>
      <c r="H3" s="11" t="inlineStr">
        <is>
          <t>Openings SF</t>
        </is>
      </c>
      <c r="I3" s="11" t="inlineStr">
        <is>
          <t>Net SF</t>
        </is>
      </c>
      <c r="J3" s="11" t="inlineStr">
        <is>
          <t>Waste %</t>
        </is>
      </c>
      <c r="K3" s="11" t="inlineStr">
        <is>
          <t>Order SF</t>
        </is>
      </c>
    </row>
    <row r="4">
      <c r="E4">
        <f>IF(B4="","",B4*C4)</f>
        <v/>
      </c>
      <c r="F4">
        <f>IF(D4="","",B4*D4/2)</f>
        <v/>
      </c>
      <c r="G4">
        <f>IF(E4="","",E4+F4)</f>
        <v/>
      </c>
      <c r="I4">
        <f>IF(G4="","",G4-H4)</f>
        <v/>
      </c>
      <c r="K4">
        <f>IF(I4="","",I4*(1+J4/100))</f>
        <v/>
      </c>
    </row>
    <row r="5">
      <c r="E5">
        <f>IF(B5="","",B5*C5)</f>
        <v/>
      </c>
      <c r="F5">
        <f>IF(D5="","",B5*D5/2)</f>
        <v/>
      </c>
      <c r="G5">
        <f>IF(E5="","",E5+F5)</f>
        <v/>
      </c>
      <c r="I5">
        <f>IF(G5="","",G5-H5)</f>
        <v/>
      </c>
      <c r="K5">
        <f>IF(I5="","",I5*(1+J5/100))</f>
        <v/>
      </c>
    </row>
    <row r="6">
      <c r="E6">
        <f>IF(B6="","",B6*C6)</f>
        <v/>
      </c>
      <c r="F6">
        <f>IF(D6="","",B6*D6/2)</f>
        <v/>
      </c>
      <c r="G6">
        <f>IF(E6="","",E6+F6)</f>
        <v/>
      </c>
      <c r="I6">
        <f>IF(G6="","",G6-H6)</f>
        <v/>
      </c>
      <c r="K6">
        <f>IF(I6="","",I6*(1+J6/100))</f>
        <v/>
      </c>
    </row>
    <row r="7">
      <c r="E7">
        <f>IF(B7="","",B7*C7)</f>
        <v/>
      </c>
      <c r="F7">
        <f>IF(D7="","",B7*D7/2)</f>
        <v/>
      </c>
      <c r="G7">
        <f>IF(E7="","",E7+F7)</f>
        <v/>
      </c>
      <c r="I7">
        <f>IF(G7="","",G7-H7)</f>
        <v/>
      </c>
      <c r="K7">
        <f>IF(I7="","",I7*(1+J7/100))</f>
        <v/>
      </c>
    </row>
    <row r="8">
      <c r="E8">
        <f>IF(B8="","",B8*C8)</f>
        <v/>
      </c>
      <c r="F8">
        <f>IF(D8="","",B8*D8/2)</f>
        <v/>
      </c>
      <c r="G8">
        <f>IF(E8="","",E8+F8)</f>
        <v/>
      </c>
      <c r="I8">
        <f>IF(G8="","",G8-H8)</f>
        <v/>
      </c>
      <c r="K8">
        <f>IF(I8="","",I8*(1+J8/100))</f>
        <v/>
      </c>
    </row>
    <row r="9">
      <c r="E9">
        <f>IF(B9="","",B9*C9)</f>
        <v/>
      </c>
      <c r="F9">
        <f>IF(D9="","",B9*D9/2)</f>
        <v/>
      </c>
      <c r="G9">
        <f>IF(E9="","",E9+F9)</f>
        <v/>
      </c>
      <c r="I9">
        <f>IF(G9="","",G9-H9)</f>
        <v/>
      </c>
      <c r="K9">
        <f>IF(I9="","",I9*(1+J9/100))</f>
        <v/>
      </c>
    </row>
    <row r="10">
      <c r="E10">
        <f>IF(B10="","",B10*C10)</f>
        <v/>
      </c>
      <c r="F10">
        <f>IF(D10="","",B10*D10/2)</f>
        <v/>
      </c>
      <c r="G10">
        <f>IF(E10="","",E10+F10)</f>
        <v/>
      </c>
      <c r="I10">
        <f>IF(G10="","",G10-H10)</f>
        <v/>
      </c>
      <c r="K10">
        <f>IF(I10="","",I10*(1+J10/100))</f>
        <v/>
      </c>
    </row>
    <row r="11">
      <c r="E11">
        <f>IF(B11="","",B11*C11)</f>
        <v/>
      </c>
      <c r="F11">
        <f>IF(D11="","",B11*D11/2)</f>
        <v/>
      </c>
      <c r="G11">
        <f>IF(E11="","",E11+F11)</f>
        <v/>
      </c>
      <c r="I11">
        <f>IF(G11="","",G11-H11)</f>
        <v/>
      </c>
      <c r="K11">
        <f>IF(I11="","",I11*(1+J11/100))</f>
        <v/>
      </c>
    </row>
    <row r="12">
      <c r="E12">
        <f>IF(B12="","",B12*C12)</f>
        <v/>
      </c>
      <c r="F12">
        <f>IF(D12="","",B12*D12/2)</f>
        <v/>
      </c>
      <c r="G12">
        <f>IF(E12="","",E12+F12)</f>
        <v/>
      </c>
      <c r="I12">
        <f>IF(G12="","",G12-H12)</f>
        <v/>
      </c>
      <c r="K12">
        <f>IF(I12="","",I12*(1+J12/100))</f>
        <v/>
      </c>
    </row>
    <row r="13">
      <c r="E13">
        <f>IF(B13="","",B13*C13)</f>
        <v/>
      </c>
      <c r="F13">
        <f>IF(D13="","",B13*D13/2)</f>
        <v/>
      </c>
      <c r="G13">
        <f>IF(E13="","",E13+F13)</f>
        <v/>
      </c>
      <c r="I13">
        <f>IF(G13="","",G13-H13)</f>
        <v/>
      </c>
      <c r="K13">
        <f>IF(I13="","",I13*(1+J13/100))</f>
        <v/>
      </c>
    </row>
    <row r="15">
      <c r="A15" s="3" t="inlineStr">
        <is>
          <t>TOTALS</t>
        </is>
      </c>
      <c r="G15" s="7">
        <f>SUM(G4:G14)</f>
        <v/>
      </c>
      <c r="H15" s="7">
        <f>SUM(H4:H14)</f>
        <v/>
      </c>
      <c r="I15" s="7">
        <f>SUM(I4:I14)</f>
        <v/>
      </c>
      <c r="K15" s="7">
        <f>SUM(K4:K14)</f>
        <v/>
      </c>
    </row>
    <row r="17">
      <c r="A17" s="3" t="inlineStr">
        <is>
          <t>TOTAL SQUARES (÷100)</t>
        </is>
      </c>
      <c r="K17" s="12">
        <f>K15/100</f>
        <v/>
      </c>
    </row>
    <row r="19">
      <c r="A19" s="2" t="inlineStr">
        <is>
          <t>TRIM &amp; ACCESSORIES</t>
        </is>
      </c>
    </row>
    <row r="20">
      <c r="A20" s="3" t="inlineStr">
        <is>
          <t>Corner Trim:</t>
        </is>
      </c>
    </row>
    <row r="21">
      <c r="A21" s="3" t="inlineStr">
        <is>
          <t>J-Channel:</t>
        </is>
      </c>
    </row>
    <row r="22">
      <c r="A22" s="3" t="inlineStr">
        <is>
          <t>Fascia:</t>
        </is>
      </c>
    </row>
    <row r="23">
      <c r="A23" s="3" t="inlineStr">
        <is>
          <t>Soffit:</t>
        </is>
      </c>
    </row>
    <row r="24">
      <c r="A24" s="3" t="inlineStr">
        <is>
          <t>Frieze Board:</t>
        </is>
      </c>
    </row>
    <row r="26">
      <c r="A26" s="8" t="inlineStr">
        <is>
          <t>NOTES:</t>
        </is>
      </c>
    </row>
    <row r="27">
      <c r="A27" t="inlineStr">
        <is>
          <t>• Typical waste: 10% for vinyl siding, 15% for lap siding</t>
        </is>
      </c>
    </row>
    <row r="28">
      <c r="A28" t="inlineStr">
        <is>
          <t>• Deduct 50% for windows, 100% for doors (or calculate exact)</t>
        </is>
      </c>
    </row>
    <row r="29">
      <c r="A29" t="inlineStr">
        <is>
          <t>• Southeast Texas: Consider hurricane-rated fasteners</t>
        </is>
      </c>
    </row>
    <row r="30">
      <c r="A30" t="inlineStr">
        <is>
          <t>• Order J-channel for all openings and transitions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5" t="inlineStr">
        <is>
          <t>WINDOW &amp; DOOR SCHEDULE</t>
        </is>
      </c>
    </row>
    <row r="3">
      <c r="A3" s="2" t="inlineStr">
        <is>
          <t>WINDOWS</t>
        </is>
      </c>
    </row>
    <row r="4">
      <c r="A4" s="13" t="inlineStr">
        <is>
          <t>Tag</t>
        </is>
      </c>
      <c r="B4" s="13" t="inlineStr">
        <is>
          <t>Qty</t>
        </is>
      </c>
      <c r="C4" s="13" t="inlineStr">
        <is>
          <t>Size (WxH)</t>
        </is>
      </c>
      <c r="D4" s="13" t="inlineStr">
        <is>
          <t>Rough Opening</t>
        </is>
      </c>
      <c r="E4" s="13" t="inlineStr">
        <is>
          <t>Header Size</t>
        </is>
      </c>
      <c r="F4" s="13" t="inlineStr">
        <is>
          <t>Type/Material</t>
        </is>
      </c>
      <c r="G4" s="13" t="inlineStr">
        <is>
          <t>Remarks</t>
        </is>
      </c>
      <c r="H4" s="13" t="inlineStr">
        <is>
          <t>Unit Price</t>
        </is>
      </c>
    </row>
    <row r="5">
      <c r="H5" s="14" t="n"/>
    </row>
    <row r="6">
      <c r="H6" s="14" t="n"/>
    </row>
    <row r="7">
      <c r="H7" s="14" t="n"/>
    </row>
    <row r="8">
      <c r="H8" s="14" t="n"/>
    </row>
    <row r="9">
      <c r="H9" s="14" t="n"/>
    </row>
    <row r="10">
      <c r="H10" s="14" t="n"/>
    </row>
    <row r="11">
      <c r="H11" s="14" t="n"/>
    </row>
    <row r="12">
      <c r="H12" s="14" t="n"/>
    </row>
    <row r="13">
      <c r="H13" s="14" t="n"/>
    </row>
    <row r="14">
      <c r="H14" s="14" t="n"/>
    </row>
    <row r="15">
      <c r="H15" s="14" t="n"/>
    </row>
    <row r="16">
      <c r="H16" s="14" t="n"/>
    </row>
    <row r="17">
      <c r="H17" s="14" t="n"/>
    </row>
    <row r="18">
      <c r="H18" s="14" t="n"/>
    </row>
    <row r="19">
      <c r="H19" s="14" t="n"/>
    </row>
    <row r="21">
      <c r="A21" s="2" t="inlineStr">
        <is>
          <t>DOORS</t>
        </is>
      </c>
    </row>
    <row r="22">
      <c r="A22" s="15" t="inlineStr">
        <is>
          <t>Tag</t>
        </is>
      </c>
      <c r="B22" s="15" t="inlineStr">
        <is>
          <t>Qty</t>
        </is>
      </c>
      <c r="C22" s="15" t="inlineStr">
        <is>
          <t>Size (WxH)</t>
        </is>
      </c>
      <c r="D22" s="15" t="inlineStr">
        <is>
          <t>Rough Opening</t>
        </is>
      </c>
      <c r="E22" s="15" t="inlineStr">
        <is>
          <t>Header Size</t>
        </is>
      </c>
      <c r="F22" s="15" t="inlineStr">
        <is>
          <t>Type/Material</t>
        </is>
      </c>
      <c r="G22" s="15" t="inlineStr">
        <is>
          <t>Remarks</t>
        </is>
      </c>
      <c r="H22" s="15" t="inlineStr">
        <is>
          <t>Unit Price</t>
        </is>
      </c>
    </row>
    <row r="23">
      <c r="H23" s="14" t="n"/>
    </row>
    <row r="24">
      <c r="H24" s="14" t="n"/>
    </row>
    <row r="25">
      <c r="H25" s="14" t="n"/>
    </row>
    <row r="26">
      <c r="H26" s="14" t="n"/>
    </row>
    <row r="27">
      <c r="H27" s="14" t="n"/>
    </row>
    <row r="28">
      <c r="H28" s="14" t="n"/>
    </row>
    <row r="29">
      <c r="H29" s="14" t="n"/>
    </row>
    <row r="30">
      <c r="H30" s="14" t="n"/>
    </row>
    <row r="31">
      <c r="H31" s="14" t="n"/>
    </row>
    <row r="32">
      <c r="H32" s="14" t="n"/>
    </row>
    <row r="33">
      <c r="H33" s="14" t="n"/>
    </row>
    <row r="34">
      <c r="H34" s="14" t="n"/>
    </row>
    <row r="35">
      <c r="H35" s="14" t="n"/>
    </row>
    <row r="36">
      <c r="H36" s="14" t="n"/>
    </row>
    <row r="37">
      <c r="H37" s="14" t="n"/>
    </row>
    <row r="39">
      <c r="A39" s="3" t="inlineStr">
        <is>
          <t>TOTALS</t>
        </is>
      </c>
      <c r="G39" t="inlineStr">
        <is>
          <t>Window Count:</t>
        </is>
      </c>
      <c r="H39">
        <f>SUM(B5:B19)</f>
        <v/>
      </c>
    </row>
    <row r="40">
      <c r="G40" t="inlineStr">
        <is>
          <t>Door Count:</t>
        </is>
      </c>
      <c r="H40">
        <f>SUM(B23:B37)</f>
        <v/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5" customWidth="1" min="5" max="5"/>
    <col width="25" customWidth="1" min="6" max="6"/>
  </cols>
  <sheetData>
    <row r="1">
      <c r="A1" s="16" t="inlineStr">
        <is>
          <t>MATERIAL SUMMARY - READY TO QUOTE</t>
        </is>
      </c>
    </row>
    <row r="3">
      <c r="A3" t="inlineStr">
        <is>
          <t>Project:</t>
        </is>
      </c>
      <c r="B3">
        <f>'Project Info'!B4</f>
        <v/>
      </c>
    </row>
    <row r="4">
      <c r="A4" t="inlineStr">
        <is>
          <t>Job Number:</t>
        </is>
      </c>
      <c r="B4">
        <f>'Project Info'!B5</f>
        <v/>
      </c>
    </row>
    <row r="6">
      <c r="A6" s="17" t="inlineStr">
        <is>
          <t>FRAMING LUMBER</t>
        </is>
      </c>
    </row>
    <row r="7">
      <c r="A7" s="18" t="inlineStr">
        <is>
          <t>Description</t>
        </is>
      </c>
      <c r="B7" s="18" t="inlineStr">
        <is>
          <t>Unit</t>
        </is>
      </c>
      <c r="C7" s="18" t="inlineStr">
        <is>
          <t>Quantity</t>
        </is>
      </c>
      <c r="D7" s="18" t="inlineStr">
        <is>
          <t>Unit Price</t>
        </is>
      </c>
      <c r="E7" s="18" t="inlineStr">
        <is>
          <t>Extended</t>
        </is>
      </c>
      <c r="F7" s="18" t="inlineStr">
        <is>
          <t>Notes</t>
        </is>
      </c>
    </row>
    <row r="8">
      <c r="A8" t="inlineStr">
        <is>
          <t>2x4x8 Studs</t>
        </is>
      </c>
      <c r="B8" t="inlineStr">
        <is>
          <t>EA</t>
        </is>
      </c>
      <c r="C8" s="4" t="n"/>
      <c r="D8" s="14" t="n"/>
      <c r="E8" s="14">
        <f>C8*D8</f>
        <v/>
      </c>
    </row>
    <row r="9">
      <c r="A9" t="inlineStr">
        <is>
          <t>2x6x8 Studs</t>
        </is>
      </c>
      <c r="B9" t="inlineStr">
        <is>
          <t>EA</t>
        </is>
      </c>
      <c r="C9" s="4" t="n"/>
      <c r="D9" s="14" t="n"/>
      <c r="E9" s="14">
        <f>C9*D9</f>
        <v/>
      </c>
    </row>
    <row r="10">
      <c r="A10" t="inlineStr">
        <is>
          <t>2x4 Plates (Treated)</t>
        </is>
      </c>
      <c r="B10" t="inlineStr">
        <is>
          <t>LF</t>
        </is>
      </c>
      <c r="C10" s="4" t="n"/>
      <c r="D10" s="14" t="n"/>
      <c r="E10" s="14">
        <f>C10*D10</f>
        <v/>
      </c>
    </row>
    <row r="11">
      <c r="A11" t="inlineStr">
        <is>
          <t>2x6 Plates (Treated)</t>
        </is>
      </c>
      <c r="B11" t="inlineStr">
        <is>
          <t>LF</t>
        </is>
      </c>
      <c r="C11" s="4" t="n"/>
      <c r="D11" s="14" t="n"/>
      <c r="E11" s="14">
        <f>C11*D11</f>
        <v/>
      </c>
    </row>
    <row r="12">
      <c r="A12" t="inlineStr">
        <is>
          <t>2x4 Top Plates</t>
        </is>
      </c>
      <c r="B12" t="inlineStr">
        <is>
          <t>LF</t>
        </is>
      </c>
      <c r="C12" s="4" t="n"/>
      <c r="D12" s="14" t="n"/>
      <c r="E12" s="14">
        <f>C12*D12</f>
        <v/>
      </c>
    </row>
    <row r="13">
      <c r="A13" t="inlineStr">
        <is>
          <t>2x6 Top Plates</t>
        </is>
      </c>
      <c r="B13" t="inlineStr">
        <is>
          <t>LF</t>
        </is>
      </c>
      <c r="C13" s="4" t="n"/>
      <c r="D13" s="14" t="n"/>
      <c r="E13" s="14">
        <f>C13*D13</f>
        <v/>
      </c>
    </row>
    <row r="14">
      <c r="A14" t="inlineStr">
        <is>
          <t>2x6 Headers</t>
        </is>
      </c>
      <c r="B14" t="inlineStr">
        <is>
          <t>LF</t>
        </is>
      </c>
      <c r="C14" s="4" t="n"/>
      <c r="D14" s="14" t="n"/>
      <c r="E14" s="14">
        <f>C14*D14</f>
        <v/>
      </c>
    </row>
    <row r="15">
      <c r="A15" t="inlineStr">
        <is>
          <t>2x8 Headers</t>
        </is>
      </c>
      <c r="B15" t="inlineStr">
        <is>
          <t>LF</t>
        </is>
      </c>
      <c r="C15" s="4" t="n"/>
      <c r="D15" s="14" t="n"/>
      <c r="E15" s="14">
        <f>C15*D15</f>
        <v/>
      </c>
    </row>
    <row r="16">
      <c r="A16" t="inlineStr">
        <is>
          <t>2x10 Headers</t>
        </is>
      </c>
      <c r="B16" t="inlineStr">
        <is>
          <t>LF</t>
        </is>
      </c>
      <c r="C16" s="4" t="n"/>
      <c r="D16" s="14" t="n"/>
      <c r="E16" s="14">
        <f>C16*D16</f>
        <v/>
      </c>
    </row>
    <row r="17">
      <c r="A17" t="inlineStr">
        <is>
          <t>2x12 Headers</t>
        </is>
      </c>
      <c r="B17" t="inlineStr">
        <is>
          <t>LF</t>
        </is>
      </c>
      <c r="C17" s="4" t="n"/>
      <c r="D17" s="14" t="n"/>
      <c r="E17" s="14">
        <f>C17*D17</f>
        <v/>
      </c>
    </row>
    <row r="19">
      <c r="A19" s="17" t="inlineStr">
        <is>
          <t>ROOF MATERIALS</t>
        </is>
      </c>
    </row>
    <row r="20">
      <c r="A20" s="18" t="inlineStr">
        <is>
          <t>Description</t>
        </is>
      </c>
      <c r="B20" s="18" t="inlineStr">
        <is>
          <t>Unit</t>
        </is>
      </c>
      <c r="C20" s="18" t="inlineStr">
        <is>
          <t>Quantity</t>
        </is>
      </c>
      <c r="D20" s="18" t="inlineStr">
        <is>
          <t>Unit Price</t>
        </is>
      </c>
      <c r="E20" s="18" t="inlineStr">
        <is>
          <t>Extended</t>
        </is>
      </c>
      <c r="F20" s="18" t="inlineStr">
        <is>
          <t>Notes</t>
        </is>
      </c>
    </row>
    <row r="21">
      <c r="A21" t="inlineStr">
        <is>
          <t>7/16" OSB Sheathing</t>
        </is>
      </c>
      <c r="B21" t="inlineStr">
        <is>
          <t>Sheets</t>
        </is>
      </c>
      <c r="C21" s="4" t="n"/>
      <c r="D21" s="14" t="n"/>
      <c r="E21" s="14">
        <f>C21*D21</f>
        <v/>
      </c>
    </row>
    <row r="22">
      <c r="A22" t="inlineStr">
        <is>
          <t>Shingles (Architectural)</t>
        </is>
      </c>
      <c r="B22" t="inlineStr">
        <is>
          <t>Bundles</t>
        </is>
      </c>
      <c r="C22" s="4" t="n"/>
      <c r="D22" s="14" t="n"/>
      <c r="E22" s="14">
        <f>C22*D22</f>
        <v/>
      </c>
    </row>
    <row r="23">
      <c r="A23" t="inlineStr">
        <is>
          <t>Hip &amp; Ridge Cap</t>
        </is>
      </c>
      <c r="B23" t="inlineStr">
        <is>
          <t>Bundles</t>
        </is>
      </c>
      <c r="C23" s="4" t="n"/>
      <c r="D23" s="14" t="n"/>
      <c r="E23" s="14">
        <f>C23*D23</f>
        <v/>
      </c>
    </row>
    <row r="24">
      <c r="A24" t="inlineStr">
        <is>
          <t>Starter Strip</t>
        </is>
      </c>
      <c r="B24" t="inlineStr">
        <is>
          <t>LF</t>
        </is>
      </c>
      <c r="C24" s="4" t="n"/>
      <c r="D24" s="14" t="n"/>
      <c r="E24" s="14">
        <f>C24*D24</f>
        <v/>
      </c>
    </row>
    <row r="25">
      <c r="A25" t="inlineStr">
        <is>
          <t>Drip Edge</t>
        </is>
      </c>
      <c r="B25" t="inlineStr">
        <is>
          <t>LF</t>
        </is>
      </c>
      <c r="C25" s="4" t="n"/>
      <c r="D25" s="14" t="n"/>
      <c r="E25" s="14">
        <f>C25*D25</f>
        <v/>
      </c>
    </row>
    <row r="26">
      <c r="A26" t="inlineStr">
        <is>
          <t>Felt/Underlayment</t>
        </is>
      </c>
      <c r="B26" t="inlineStr">
        <is>
          <t>Rolls</t>
        </is>
      </c>
      <c r="C26" s="4" t="n"/>
      <c r="D26" s="14" t="n"/>
      <c r="E26" s="14">
        <f>C26*D26</f>
        <v/>
      </c>
    </row>
    <row r="28">
      <c r="A28" s="17" t="inlineStr">
        <is>
          <t>FOUNDATION</t>
        </is>
      </c>
    </row>
    <row r="29">
      <c r="A29" s="18" t="inlineStr">
        <is>
          <t>Description</t>
        </is>
      </c>
      <c r="B29" s="18" t="inlineStr">
        <is>
          <t>Unit</t>
        </is>
      </c>
      <c r="C29" s="18" t="inlineStr">
        <is>
          <t>Quantity</t>
        </is>
      </c>
      <c r="D29" s="18" t="inlineStr">
        <is>
          <t>Unit Price</t>
        </is>
      </c>
      <c r="E29" s="18" t="inlineStr">
        <is>
          <t>Extended</t>
        </is>
      </c>
      <c r="F29" s="18" t="inlineStr">
        <is>
          <t>Notes</t>
        </is>
      </c>
    </row>
    <row r="30">
      <c r="A30" t="inlineStr">
        <is>
          <t>Concrete 3000 PSI</t>
        </is>
      </c>
      <c r="B30" t="inlineStr">
        <is>
          <t>CY</t>
        </is>
      </c>
      <c r="C30" s="4" t="n"/>
      <c r="D30" s="14" t="n"/>
      <c r="E30" s="14">
        <f>C30*D30</f>
        <v/>
      </c>
    </row>
    <row r="31">
      <c r="A31" t="inlineStr">
        <is>
          <t>#3 Rebar</t>
        </is>
      </c>
      <c r="B31" t="inlineStr">
        <is>
          <t>LF</t>
        </is>
      </c>
      <c r="C31" s="4" t="n"/>
      <c r="D31" s="14" t="n"/>
      <c r="E31" s="14">
        <f>C31*D31</f>
        <v/>
      </c>
    </row>
    <row r="32">
      <c r="A32" t="inlineStr">
        <is>
          <t>#4 Rebar</t>
        </is>
      </c>
      <c r="B32" t="inlineStr">
        <is>
          <t>LF</t>
        </is>
      </c>
      <c r="C32" s="4" t="n"/>
      <c r="D32" s="14" t="n"/>
      <c r="E32" s="14">
        <f>C32*D32</f>
        <v/>
      </c>
    </row>
    <row r="33">
      <c r="A33" t="inlineStr">
        <is>
          <t>6mil Vapor Barrier</t>
        </is>
      </c>
      <c r="B33" t="inlineStr">
        <is>
          <t>SF</t>
        </is>
      </c>
      <c r="C33" s="4" t="n"/>
      <c r="D33" s="14" t="n"/>
      <c r="E33" s="14">
        <f>C33*D33</f>
        <v/>
      </c>
    </row>
    <row r="34">
      <c r="A34" t="inlineStr">
        <is>
          <t>Anchor Bolts</t>
        </is>
      </c>
      <c r="B34" t="inlineStr">
        <is>
          <t>EA</t>
        </is>
      </c>
      <c r="C34" s="4" t="n"/>
      <c r="D34" s="14" t="n"/>
      <c r="E34" s="14">
        <f>C34*D34</f>
        <v/>
      </c>
    </row>
    <row r="36">
      <c r="A36" s="17" t="inlineStr">
        <is>
          <t>EXTERIOR FINISHES</t>
        </is>
      </c>
    </row>
    <row r="37">
      <c r="A37" s="18" t="inlineStr">
        <is>
          <t>Description</t>
        </is>
      </c>
      <c r="B37" s="18" t="inlineStr">
        <is>
          <t>Unit</t>
        </is>
      </c>
      <c r="C37" s="18" t="inlineStr">
        <is>
          <t>Quantity</t>
        </is>
      </c>
      <c r="D37" s="18" t="inlineStr">
        <is>
          <t>Unit Price</t>
        </is>
      </c>
      <c r="E37" s="18" t="inlineStr">
        <is>
          <t>Extended</t>
        </is>
      </c>
      <c r="F37" s="18" t="inlineStr">
        <is>
          <t>Notes</t>
        </is>
      </c>
    </row>
    <row r="38">
      <c r="A38" t="inlineStr">
        <is>
          <t>Siding</t>
        </is>
      </c>
      <c r="B38" t="inlineStr">
        <is>
          <t>Squares</t>
        </is>
      </c>
      <c r="C38" s="4" t="n"/>
      <c r="D38" s="14" t="n"/>
      <c r="E38" s="14">
        <f>C38*D38</f>
        <v/>
      </c>
    </row>
    <row r="39">
      <c r="A39" t="inlineStr">
        <is>
          <t>J-Channel</t>
        </is>
      </c>
      <c r="B39" t="inlineStr">
        <is>
          <t>LF</t>
        </is>
      </c>
      <c r="C39" s="4" t="n"/>
      <c r="D39" s="14" t="n"/>
      <c r="E39" s="14">
        <f>C39*D39</f>
        <v/>
      </c>
    </row>
    <row r="40">
      <c r="A40" t="inlineStr">
        <is>
          <t>Corner Trim</t>
        </is>
      </c>
      <c r="B40" t="inlineStr">
        <is>
          <t>EA</t>
        </is>
      </c>
      <c r="C40" s="4" t="n"/>
      <c r="D40" s="14" t="n"/>
      <c r="E40" s="14">
        <f>C40*D40</f>
        <v/>
      </c>
    </row>
    <row r="41">
      <c r="A41" t="inlineStr">
        <is>
          <t>Fascia</t>
        </is>
      </c>
      <c r="B41" t="inlineStr">
        <is>
          <t>LF</t>
        </is>
      </c>
      <c r="C41" s="4" t="n"/>
      <c r="D41" s="14" t="n"/>
      <c r="E41" s="14">
        <f>C41*D41</f>
        <v/>
      </c>
    </row>
    <row r="42">
      <c r="A42" t="inlineStr">
        <is>
          <t>Soffit</t>
        </is>
      </c>
      <c r="B42" t="inlineStr">
        <is>
          <t>SF</t>
        </is>
      </c>
      <c r="C42" s="4" t="n"/>
      <c r="D42" s="14" t="n"/>
      <c r="E42" s="14">
        <f>C42*D42</f>
        <v/>
      </c>
    </row>
    <row r="44">
      <c r="D44" s="19" t="inlineStr">
        <is>
          <t>GRAND TOTAL:</t>
        </is>
      </c>
      <c r="E44" s="20" t="n"/>
    </row>
  </sheetData>
  <mergeCells count="5">
    <mergeCell ref="A28:F28"/>
    <mergeCell ref="A19:F19"/>
    <mergeCell ref="A36:F36"/>
    <mergeCell ref="A1:F1"/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5" t="inlineStr">
        <is>
          <t>QUICK REFERENCE - CONVERSION TABLES</t>
        </is>
      </c>
    </row>
    <row r="3">
      <c r="A3" s="8" t="inlineStr">
        <is>
          <t>STUD SPACING MULTIPLIERS</t>
        </is>
      </c>
      <c r="F3" s="8" t="inlineStr">
        <is>
          <t>BOARD FEET CONVERSIONS</t>
        </is>
      </c>
    </row>
    <row r="4">
      <c r="A4" s="3" t="inlineStr">
        <is>
          <t>Spacing</t>
        </is>
      </c>
      <c r="B4" s="3" t="inlineStr">
        <is>
          <t>Studs per LF</t>
        </is>
      </c>
      <c r="C4" s="3" t="inlineStr">
        <is>
          <t>Formula</t>
        </is>
      </c>
      <c r="F4" s="3" t="inlineStr">
        <is>
          <t>Size</t>
        </is>
      </c>
      <c r="G4" s="3" t="inlineStr">
        <is>
          <t>BF per LF</t>
        </is>
      </c>
    </row>
    <row r="5">
      <c r="A5" t="inlineStr">
        <is>
          <t>12" O.C.</t>
        </is>
      </c>
      <c r="B5" t="inlineStr">
        <is>
          <t>1.00</t>
        </is>
      </c>
      <c r="C5" t="inlineStr">
        <is>
          <t>LF × 1 + 1</t>
        </is>
      </c>
      <c r="F5" t="inlineStr">
        <is>
          <t>2x4</t>
        </is>
      </c>
      <c r="G5" t="inlineStr">
        <is>
          <t>0.667</t>
        </is>
      </c>
    </row>
    <row r="6">
      <c r="A6" t="inlineStr">
        <is>
          <t>16" O.C.</t>
        </is>
      </c>
      <c r="B6" t="inlineStr">
        <is>
          <t>0.75</t>
        </is>
      </c>
      <c r="C6" t="inlineStr">
        <is>
          <t>LF × 0.75 + 1</t>
        </is>
      </c>
      <c r="F6" t="inlineStr">
        <is>
          <t>2x6</t>
        </is>
      </c>
      <c r="G6" t="inlineStr">
        <is>
          <t>1.000</t>
        </is>
      </c>
    </row>
    <row r="7">
      <c r="A7" t="inlineStr">
        <is>
          <t>24" O.C.</t>
        </is>
      </c>
      <c r="B7" t="inlineStr">
        <is>
          <t>0.50</t>
        </is>
      </c>
      <c r="C7" t="inlineStr">
        <is>
          <t>LF × 0.5 + 1</t>
        </is>
      </c>
      <c r="F7" t="inlineStr">
        <is>
          <t>2x8</t>
        </is>
      </c>
      <c r="G7" t="inlineStr">
        <is>
          <t>1.333</t>
        </is>
      </c>
    </row>
    <row r="8">
      <c r="F8" t="inlineStr">
        <is>
          <t>2x10</t>
        </is>
      </c>
      <c r="G8" t="inlineStr">
        <is>
          <t>1.667</t>
        </is>
      </c>
    </row>
    <row r="9">
      <c r="A9" s="8" t="inlineStr">
        <is>
          <t>ROOF SLOPE FACTORS</t>
        </is>
      </c>
      <c r="F9" t="inlineStr">
        <is>
          <t>2x12</t>
        </is>
      </c>
      <c r="G9" t="inlineStr">
        <is>
          <t>2.000</t>
        </is>
      </c>
    </row>
    <row r="10">
      <c r="A10" s="3" t="inlineStr">
        <is>
          <t>Pitch</t>
        </is>
      </c>
      <c r="B10" s="3" t="inlineStr">
        <is>
          <t>Degrees</t>
        </is>
      </c>
      <c r="C10" s="3" t="inlineStr">
        <is>
          <t>Slope Factor</t>
        </is>
      </c>
      <c r="D10" s="3" t="inlineStr">
        <is>
          <t>Rise per ft</t>
        </is>
      </c>
      <c r="F10" s="8" t="inlineStr">
        <is>
          <t>AREA &amp; VOLUME CONVERSIONS</t>
        </is>
      </c>
    </row>
    <row r="11">
      <c r="A11" t="inlineStr">
        <is>
          <t>3:12</t>
        </is>
      </c>
      <c r="B11" t="inlineStr">
        <is>
          <t>14.0°</t>
        </is>
      </c>
      <c r="C11" t="inlineStr">
        <is>
          <t>1.031</t>
        </is>
      </c>
      <c r="D11" t="inlineStr">
        <is>
          <t>3"</t>
        </is>
      </c>
      <c r="F11" s="3" t="inlineStr">
        <is>
          <t>1 Square</t>
        </is>
      </c>
      <c r="G11">
        <f> 100 SF</f>
        <v/>
      </c>
    </row>
    <row r="12">
      <c r="A12" t="inlineStr">
        <is>
          <t>4:12</t>
        </is>
      </c>
      <c r="B12" t="inlineStr">
        <is>
          <t>18.4°</t>
        </is>
      </c>
      <c r="C12" t="inlineStr">
        <is>
          <t>1.054</t>
        </is>
      </c>
      <c r="D12" t="inlineStr">
        <is>
          <t>4"</t>
        </is>
      </c>
      <c r="F12" s="3" t="inlineStr">
        <is>
          <t>1 Sheet (4x8)</t>
        </is>
      </c>
      <c r="G12">
        <f> 32 SF</f>
        <v/>
      </c>
    </row>
    <row r="13">
      <c r="A13" t="inlineStr">
        <is>
          <t>5:12</t>
        </is>
      </c>
      <c r="B13" t="inlineStr">
        <is>
          <t>22.6°</t>
        </is>
      </c>
      <c r="C13" t="inlineStr">
        <is>
          <t>1.083</t>
        </is>
      </c>
      <c r="D13" t="inlineStr">
        <is>
          <t>5"</t>
        </is>
      </c>
      <c r="F13" s="3" t="inlineStr">
        <is>
          <t>1 Cubic Yard</t>
        </is>
      </c>
      <c r="G13">
        <f> 27 CF</f>
        <v/>
      </c>
    </row>
    <row r="14">
      <c r="A14" t="inlineStr">
        <is>
          <t>6:12</t>
        </is>
      </c>
      <c r="B14" t="inlineStr">
        <is>
          <t>26.6°</t>
        </is>
      </c>
      <c r="C14" t="inlineStr">
        <is>
          <t>1.118</t>
        </is>
      </c>
      <c r="D14" t="inlineStr">
        <is>
          <t>6"</t>
        </is>
      </c>
      <c r="F14" s="3" t="inlineStr">
        <is>
          <t>1 Ton</t>
        </is>
      </c>
      <c r="G14">
        <f> 2000 lbs</f>
        <v/>
      </c>
    </row>
    <row r="15">
      <c r="A15" t="inlineStr">
        <is>
          <t>7:12</t>
        </is>
      </c>
      <c r="B15" t="inlineStr">
        <is>
          <t>30.3°</t>
        </is>
      </c>
      <c r="C15" t="inlineStr">
        <is>
          <t>1.158</t>
        </is>
      </c>
      <c r="D15" t="inlineStr">
        <is>
          <t>7"</t>
        </is>
      </c>
    </row>
    <row r="16">
      <c r="A16" t="inlineStr">
        <is>
          <t>8:12</t>
        </is>
      </c>
      <c r="B16" t="inlineStr">
        <is>
          <t>33.7°</t>
        </is>
      </c>
      <c r="C16" t="inlineStr">
        <is>
          <t>1.202</t>
        </is>
      </c>
      <c r="D16" t="inlineStr">
        <is>
          <t>8"</t>
        </is>
      </c>
    </row>
    <row r="17">
      <c r="A17" t="inlineStr">
        <is>
          <t>9:12</t>
        </is>
      </c>
      <c r="B17" t="inlineStr">
        <is>
          <t>36.9°</t>
        </is>
      </c>
      <c r="C17" t="inlineStr">
        <is>
          <t>1.250</t>
        </is>
      </c>
      <c r="D17" t="inlineStr">
        <is>
          <t>9"</t>
        </is>
      </c>
    </row>
    <row r="18">
      <c r="A18" t="inlineStr">
        <is>
          <t>10:12</t>
        </is>
      </c>
      <c r="B18" t="inlineStr">
        <is>
          <t>39.8°</t>
        </is>
      </c>
      <c r="C18" t="inlineStr">
        <is>
          <t>1.302</t>
        </is>
      </c>
      <c r="D18" t="inlineStr">
        <is>
          <t>10"</t>
        </is>
      </c>
    </row>
    <row r="19">
      <c r="A19" t="inlineStr">
        <is>
          <t>12:12</t>
        </is>
      </c>
      <c r="B19" t="inlineStr">
        <is>
          <t>45.0°</t>
        </is>
      </c>
      <c r="C19" t="inlineStr">
        <is>
          <t>1.414</t>
        </is>
      </c>
      <c r="D19" t="inlineStr">
        <is>
          <t>12"</t>
        </is>
      </c>
    </row>
    <row r="21">
      <c r="A21" s="8" t="inlineStr">
        <is>
          <t>TYPICAL WASTE FACTORS</t>
        </is>
      </c>
    </row>
    <row r="22">
      <c r="A22" s="3" t="inlineStr">
        <is>
          <t>Material</t>
        </is>
      </c>
      <c r="B22" s="3" t="inlineStr">
        <is>
          <t>Waste %</t>
        </is>
      </c>
      <c r="C22" s="3" t="inlineStr">
        <is>
          <t>Notes</t>
        </is>
      </c>
    </row>
    <row r="23">
      <c r="A23" t="inlineStr">
        <is>
          <t>Framing Lumber</t>
        </is>
      </c>
      <c r="B23" t="inlineStr">
        <is>
          <t>5-10%</t>
        </is>
      </c>
      <c r="C23" t="inlineStr">
        <is>
          <t>More for complex cuts</t>
        </is>
      </c>
    </row>
    <row r="24">
      <c r="A24" t="inlineStr">
        <is>
          <t>Sheathing/Subfloor</t>
        </is>
      </c>
      <c r="B24" t="inlineStr">
        <is>
          <t>10%</t>
        </is>
      </c>
      <c r="C24" t="inlineStr">
        <is>
          <t>Standard</t>
        </is>
      </c>
    </row>
    <row r="25">
      <c r="A25" t="inlineStr">
        <is>
          <t>Roof Shingles</t>
        </is>
      </c>
      <c r="B25" t="inlineStr">
        <is>
          <t>10-15%</t>
        </is>
      </c>
      <c r="C25" t="inlineStr">
        <is>
          <t>Add for hips/valleys</t>
        </is>
      </c>
    </row>
    <row r="26">
      <c r="A26" t="inlineStr">
        <is>
          <t>Vinyl Siding</t>
        </is>
      </c>
      <c r="B26" t="inlineStr">
        <is>
          <t>10%</t>
        </is>
      </c>
      <c r="C26" t="inlineStr">
        <is>
          <t>Standard</t>
        </is>
      </c>
    </row>
    <row r="27">
      <c r="A27" t="inlineStr">
        <is>
          <t>Lap Siding</t>
        </is>
      </c>
      <c r="B27" t="inlineStr">
        <is>
          <t>15%</t>
        </is>
      </c>
      <c r="C27" t="inlineStr">
        <is>
          <t>More cuts required</t>
        </is>
      </c>
    </row>
    <row r="28">
      <c r="A28" t="inlineStr">
        <is>
          <t>Concrete</t>
        </is>
      </c>
      <c r="B28" t="inlineStr">
        <is>
          <t>5-10%</t>
        </is>
      </c>
      <c r="C28" t="inlineStr">
        <is>
          <t>Spillage and leveling</t>
        </is>
      </c>
    </row>
    <row r="29">
      <c r="A29" t="inlineStr">
        <is>
          <t>Drywall</t>
        </is>
      </c>
      <c r="B29" t="inlineStr">
        <is>
          <t>10-15%</t>
        </is>
      </c>
      <c r="C29" t="inlineStr">
        <is>
          <t>Standard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2025-12-07T20:17:36Z</dcterms:created>
  <dcterms:modified xsi:type="dcterms:W3CDTF">2025-12-07T20:17:36Z</dcterms:modified>
</cp:coreProperties>
</file>